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Inicio" sheetId="1" state="visible" r:id="rId1"/>
    <sheet xmlns:r="http://schemas.openxmlformats.org/officeDocument/2006/relationships" name="⚙️ Configuración" sheetId="2" state="visible" r:id="rId2"/>
    <sheet xmlns:r="http://schemas.openxmlformats.org/officeDocument/2006/relationships" name="ENE" sheetId="3" state="visible" r:id="rId3"/>
    <sheet xmlns:r="http://schemas.openxmlformats.org/officeDocument/2006/relationships" name="FEB" sheetId="4" state="visible" r:id="rId4"/>
    <sheet xmlns:r="http://schemas.openxmlformats.org/officeDocument/2006/relationships" name="MAR" sheetId="5" state="visible" r:id="rId5"/>
    <sheet xmlns:r="http://schemas.openxmlformats.org/officeDocument/2006/relationships" name="ABR" sheetId="6" state="visible" r:id="rId6"/>
    <sheet xmlns:r="http://schemas.openxmlformats.org/officeDocument/2006/relationships" name="MAY" sheetId="7" state="visible" r:id="rId7"/>
    <sheet xmlns:r="http://schemas.openxmlformats.org/officeDocument/2006/relationships" name="JUN" sheetId="8" state="visible" r:id="rId8"/>
    <sheet xmlns:r="http://schemas.openxmlformats.org/officeDocument/2006/relationships" name="JUL" sheetId="9" state="visible" r:id="rId9"/>
    <sheet xmlns:r="http://schemas.openxmlformats.org/officeDocument/2006/relationships" name="AGO" sheetId="10" state="visible" r:id="rId10"/>
    <sheet xmlns:r="http://schemas.openxmlformats.org/officeDocument/2006/relationships" name="SEP" sheetId="11" state="visible" r:id="rId11"/>
    <sheet xmlns:r="http://schemas.openxmlformats.org/officeDocument/2006/relationships" name="OCT" sheetId="12" state="visible" r:id="rId12"/>
    <sheet xmlns:r="http://schemas.openxmlformats.org/officeDocument/2006/relationships" name="NOV" sheetId="13" state="visible" r:id="rId13"/>
    <sheet xmlns:r="http://schemas.openxmlformats.org/officeDocument/2006/relationships" name="DIC" sheetId="14" state="visible" r:id="rId14"/>
    <sheet xmlns:r="http://schemas.openxmlformats.org/officeDocument/2006/relationships" name="📊 Resumen Anual" sheetId="15" state="visible" r:id="rId15"/>
    <sheet xmlns:r="http://schemas.openxmlformats.org/officeDocument/2006/relationships" name="🎯 Metas Ahorr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DD/MM/YYYY"/>
  </numFmts>
  <fonts count="38">
    <font>
      <name val="Calibri"/>
      <family val="2"/>
      <color theme="1"/>
      <sz val="11"/>
      <scheme val="minor"/>
    </font>
    <font>
      <name val="Arial"/>
      <b val="1"/>
      <color rgb="00F5F0FF"/>
      <sz val="20"/>
    </font>
    <font>
      <name val="Arial"/>
      <b val="1"/>
      <i val="1"/>
      <color rgb="00F59E0B"/>
      <sz val="14"/>
    </font>
    <font>
      <name val="Arial"/>
      <color rgb="00A0A0C0"/>
      <sz val="10"/>
    </font>
    <font>
      <name val="Arial"/>
      <b val="1"/>
      <color rgb="00F5F0FF"/>
      <sz val="14"/>
    </font>
    <font>
      <name val="Arial"/>
      <i val="1"/>
      <color rgb="00A0A0C0"/>
      <sz val="9"/>
    </font>
    <font>
      <name val="Arial"/>
      <b val="1"/>
      <color rgb="00F5F0FF"/>
      <sz val="10"/>
    </font>
    <font>
      <name val="Arial"/>
      <b val="1"/>
      <color rgb="00A0A0C0"/>
      <sz val="8"/>
    </font>
    <font>
      <name val="Arial"/>
      <color rgb="00F5F0FF"/>
      <sz val="9"/>
    </font>
    <font>
      <name val="Arial"/>
      <b val="1"/>
      <color rgb="0014B8A6"/>
      <sz val="10"/>
    </font>
    <font>
      <name val="Arial"/>
      <b val="1"/>
      <color rgb="0022C55E"/>
      <sz val="10"/>
    </font>
    <font>
      <name val="Arial"/>
      <b val="1"/>
      <color rgb="00A0A0C0"/>
      <sz val="7"/>
    </font>
    <font>
      <name val="Arial"/>
      <b val="1"/>
      <color rgb="0022C55E"/>
      <sz val="13"/>
    </font>
    <font>
      <name val="Arial"/>
      <b val="1"/>
      <color rgb="00EF4444"/>
      <sz val="13"/>
    </font>
    <font>
      <name val="Arial"/>
      <b val="1"/>
      <color rgb="0014B8A6"/>
      <sz val="13"/>
    </font>
    <font>
      <name val="Arial"/>
      <b val="1"/>
      <color rgb="00F59E0B"/>
      <sz val="13"/>
    </font>
    <font>
      <name val="Arial"/>
      <b val="1"/>
      <color rgb="008B5CF6"/>
      <sz val="9"/>
    </font>
    <font>
      <name val="Arial"/>
      <color rgb="00A0A0C0"/>
      <sz val="9"/>
    </font>
    <font>
      <name val="Arial"/>
      <color rgb="0022C55E"/>
      <sz val="8"/>
    </font>
    <font>
      <name val="Arial"/>
      <color rgb="0014B8A6"/>
      <sz val="9"/>
    </font>
    <font>
      <name val="Arial"/>
      <color rgb="00EF4444"/>
      <sz val="8"/>
    </font>
    <font>
      <name val="Arial"/>
      <b val="1"/>
      <color rgb="0014B8A6"/>
      <sz val="9"/>
    </font>
    <font>
      <name val="Arial"/>
      <b val="1"/>
      <color rgb="0022C55E"/>
      <sz val="9"/>
    </font>
    <font>
      <name val="Arial"/>
      <b val="1"/>
      <color rgb="00EC4899"/>
      <sz val="9"/>
    </font>
    <font>
      <name val="Arial"/>
      <b val="1"/>
      <color rgb="00F59E0B"/>
      <sz val="9"/>
    </font>
    <font>
      <name val="Arial"/>
      <b val="1"/>
      <color rgb="00F97316"/>
      <sz val="9"/>
    </font>
    <font>
      <name val="Arial"/>
      <b val="1"/>
      <color rgb="00F5F0FF"/>
      <sz val="16"/>
    </font>
    <font>
      <name val="Arial"/>
      <b val="1"/>
      <color rgb="00F59E0B"/>
      <sz val="8"/>
    </font>
    <font>
      <name val="Arial"/>
      <b val="1"/>
      <color rgb="00EF4444"/>
      <sz val="9"/>
    </font>
    <font>
      <name val="Arial"/>
      <b val="1"/>
      <color rgb="00EF4444"/>
      <sz val="10"/>
    </font>
    <font>
      <name val="Arial"/>
      <color rgb="00EF4444"/>
      <sz val="9"/>
    </font>
    <font>
      <name val="Arial"/>
      <color rgb="00A0A0C0"/>
      <sz val="8"/>
    </font>
    <font>
      <name val="Arial"/>
      <b val="1"/>
      <color rgb="008B5CF6"/>
      <sz val="10"/>
    </font>
    <font>
      <name val="Arial"/>
      <color rgb="00F59E0B"/>
      <sz val="9"/>
    </font>
    <font>
      <name val="Arial"/>
      <b val="1"/>
      <color rgb="00F59E0B"/>
      <sz val="10"/>
    </font>
    <font>
      <name val="Arial"/>
      <b val="1"/>
      <color rgb="00EC4899"/>
      <sz val="10"/>
    </font>
    <font>
      <name val="Arial"/>
      <b val="1"/>
      <color rgb="00F97316"/>
      <sz val="10"/>
    </font>
    <font>
      <name val="Arial"/>
      <b val="1"/>
      <color rgb="006060A0"/>
      <sz val="10"/>
    </font>
  </fonts>
  <fills count="13">
    <fill>
      <patternFill/>
    </fill>
    <fill>
      <patternFill patternType="gray125"/>
    </fill>
    <fill>
      <patternFill patternType="solid">
        <fgColor rgb="000D0D14"/>
      </patternFill>
    </fill>
    <fill>
      <patternFill patternType="solid">
        <fgColor rgb="006D28D9"/>
      </patternFill>
    </fill>
    <fill>
      <patternFill patternType="solid">
        <fgColor rgb="00EF4444"/>
      </patternFill>
    </fill>
    <fill>
      <patternFill patternType="solid">
        <fgColor rgb="002A2A3E"/>
      </patternFill>
    </fill>
    <fill>
      <patternFill patternType="solid">
        <fgColor rgb="001E1E30"/>
      </patternFill>
    </fill>
    <fill>
      <patternFill patternType="solid">
        <fgColor rgb="0022C55E"/>
      </patternFill>
    </fill>
    <fill>
      <patternFill patternType="solid">
        <fgColor rgb="008B5CF6"/>
      </patternFill>
    </fill>
    <fill>
      <patternFill patternType="solid">
        <fgColor rgb="0014B8A6"/>
      </patternFill>
    </fill>
    <fill>
      <patternFill patternType="solid">
        <fgColor rgb="00EC4899"/>
      </patternFill>
    </fill>
    <fill>
      <patternFill patternType="solid">
        <fgColor rgb="00F59E0B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3A3A55"/>
      </left>
      <right style="thin">
        <color rgb="003A3A55"/>
      </right>
      <top style="thin">
        <color rgb="003A3A55"/>
      </top>
      <bottom style="thin">
        <color rgb="003A3A55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164" fontId="12" fillId="6" borderId="0" applyAlignment="1" pivotButton="0" quotePrefix="0" xfId="0">
      <alignment horizontal="center" vertical="center"/>
    </xf>
    <xf numFmtId="164" fontId="13" fillId="6" borderId="0" applyAlignment="1" pivotButton="0" quotePrefix="0" xfId="0">
      <alignment horizontal="center" vertical="center"/>
    </xf>
    <xf numFmtId="164" fontId="14" fillId="6" borderId="0" applyAlignment="1" pivotButton="0" quotePrefix="0" xfId="0">
      <alignment horizontal="center" vertical="center"/>
    </xf>
    <xf numFmtId="165" fontId="15" fillId="6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6" fontId="1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164" fontId="19" fillId="6" borderId="1" applyAlignment="1" pivotButton="0" quotePrefix="0" xfId="0">
      <alignment horizontal="center" vertical="center"/>
    </xf>
    <xf numFmtId="164" fontId="21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22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1" fillId="5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center" vertical="center"/>
    </xf>
    <xf numFmtId="0" fontId="25" fillId="5" borderId="0" applyAlignment="1" pivotButton="0" quotePrefix="0" xfId="0">
      <alignment horizontal="left" vertical="center"/>
    </xf>
    <xf numFmtId="0" fontId="26" fillId="3" borderId="0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left" vertical="center"/>
    </xf>
    <xf numFmtId="164" fontId="29" fillId="6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0" fontId="24" fillId="5" borderId="1" applyAlignment="1" pivotButton="0" quotePrefix="0" xfId="0">
      <alignment horizontal="left" vertical="center"/>
    </xf>
    <xf numFmtId="165" fontId="24" fillId="6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64" fontId="30" fillId="6" borderId="1" applyAlignment="1" pivotButton="0" quotePrefix="0" xfId="0">
      <alignment horizontal="center" vertical="center"/>
    </xf>
    <xf numFmtId="166" fontId="31" fillId="6" borderId="1" applyAlignment="1" pivotButton="0" quotePrefix="0" xfId="0">
      <alignment horizontal="center" vertical="center"/>
    </xf>
    <xf numFmtId="9" fontId="32" fillId="6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center" vertical="center"/>
    </xf>
    <xf numFmtId="9" fontId="9" fillId="6" borderId="1" applyAlignment="1" pivotButton="0" quotePrefix="0" xfId="0">
      <alignment horizontal="center" vertical="center"/>
    </xf>
    <xf numFmtId="9" fontId="10" fillId="6" borderId="1" applyAlignment="1" pivotButton="0" quotePrefix="0" xfId="0">
      <alignment horizontal="center" vertical="center"/>
    </xf>
    <xf numFmtId="9" fontId="34" fillId="6" borderId="1" applyAlignment="1" pivotButton="0" quotePrefix="0" xfId="0">
      <alignment horizontal="center" vertical="center"/>
    </xf>
    <xf numFmtId="9" fontId="35" fillId="6" borderId="1" applyAlignment="1" pivotButton="0" quotePrefix="0" xfId="0">
      <alignment horizontal="center" vertical="center"/>
    </xf>
    <xf numFmtId="9" fontId="36" fillId="6" borderId="1" applyAlignment="1" pivotButton="0" quotePrefix="0" xfId="0">
      <alignment horizontal="center" vertical="center"/>
    </xf>
    <xf numFmtId="9" fontId="3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20" customHeight="1">
      <c r="A3" s="1" t="n"/>
      <c r="B3" s="2" t="inlineStr">
        <is>
          <t>💰  ORGANIZADOR DE FINANZAS 2026</t>
        </is>
      </c>
      <c r="Q3" s="1" t="n"/>
      <c r="R3" s="1" t="n"/>
    </row>
    <row r="4" ht="20" customHeight="1">
      <c r="A4" s="1" t="n"/>
      <c r="Q4" s="1" t="n"/>
      <c r="R4" s="1" t="n"/>
    </row>
    <row r="5" ht="20" customHeight="1">
      <c r="A5" s="1" t="n"/>
      <c r="Q5" s="1" t="n"/>
      <c r="R5" s="1" t="n"/>
    </row>
    <row r="6" ht="2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20" customHeight="1">
      <c r="A7" s="1" t="n"/>
      <c r="B7" s="3" t="inlineStr">
        <is>
          <t>Tu dinero, tu control</t>
        </is>
      </c>
      <c r="Q7" s="1" t="n"/>
      <c r="R7" s="1" t="n"/>
    </row>
    <row r="8" ht="20" customHeight="1">
      <c r="A8" s="1" t="n"/>
      <c r="Q8" s="1" t="n"/>
      <c r="R8" s="1" t="n"/>
    </row>
    <row r="9" ht="20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 ht="20" customHeight="1">
      <c r="A10" s="1" t="n"/>
      <c r="B10" s="4" t="inlineStr">
        <is>
          <t>Presupuesto · Gastos · Ingresos · Ahorro · Metas financieras</t>
        </is>
      </c>
      <c r="Q10" s="1" t="n"/>
      <c r="R10" s="1" t="n"/>
    </row>
    <row r="11" ht="20" customHeight="1">
      <c r="A11" s="1" t="n"/>
      <c r="Q11" s="1" t="n"/>
      <c r="R11" s="1" t="n"/>
    </row>
    <row r="12" ht="20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 ht="20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 ht="20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 ht="20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 ht="20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 ht="20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 ht="20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 ht="20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 ht="20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 ht="20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 ht="20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 ht="20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 ht="20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 ht="20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 ht="20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 ht="20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 ht="20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 ht="20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 ht="20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 ht="20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 ht="20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0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 ht="20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 ht="20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 ht="20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 ht="20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 ht="20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 ht="20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 ht="20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 ht="20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 ht="20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 ht="20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 ht="20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</sheetData>
  <mergeCells count="3">
    <mergeCell ref="B3:P5"/>
    <mergeCell ref="B10:P11"/>
    <mergeCell ref="B7:P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28" customWidth="1" min="4" max="4"/>
    <col width="18" customWidth="1" min="5" max="5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1" t="n"/>
      <c r="B2" s="5" t="inlineStr">
        <is>
          <t>⚙️  CONFIGURACIÓN 2026</t>
        </is>
      </c>
      <c r="F2" s="1" t="n"/>
      <c r="G2" s="1" t="n"/>
      <c r="H2" s="1" t="n"/>
    </row>
    <row r="3" ht="18" customHeight="1">
      <c r="A3" s="1" t="n"/>
      <c r="F3" s="1" t="n"/>
      <c r="G3" s="1" t="n"/>
      <c r="H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18" customHeight="1">
      <c r="A5" s="1" t="n"/>
      <c r="B5" s="6" t="inlineStr">
        <is>
          <t>Personaliza tus categorías. Los sheets mensuales las usan automáticamente.</t>
        </is>
      </c>
      <c r="F5" s="1" t="n"/>
      <c r="G5" s="1" t="n"/>
      <c r="H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</row>
    <row r="7" ht="18" customHeight="1">
      <c r="A7" s="1" t="n"/>
      <c r="B7" s="7" t="inlineStr">
        <is>
          <t>💸 GASTOS</t>
        </is>
      </c>
      <c r="D7" s="8" t="inlineStr">
        <is>
          <t>💰 INGRESOS</t>
        </is>
      </c>
      <c r="F7" s="1" t="n"/>
      <c r="G7" s="1" t="n"/>
      <c r="H7" s="1" t="n"/>
    </row>
    <row r="8" ht="18" customHeight="1">
      <c r="A8" s="1" t="n"/>
      <c r="B8" s="9" t="inlineStr">
        <is>
          <t>CATEGORÍA</t>
        </is>
      </c>
      <c r="C8" s="10" t="inlineStr">
        <is>
          <t>PRESUP. MENSUAL</t>
        </is>
      </c>
      <c r="D8" s="9" t="inlineStr">
        <is>
          <t>CATEGORÍA</t>
        </is>
      </c>
      <c r="E8" s="10" t="inlineStr">
        <is>
          <t>MONTO ESPERADO</t>
        </is>
      </c>
      <c r="F8" s="1" t="n"/>
      <c r="G8" s="1" t="n"/>
      <c r="H8" s="1" t="n"/>
    </row>
    <row r="9" ht="20" customHeight="1">
      <c r="A9" s="1" t="n"/>
      <c r="B9" s="11" t="inlineStr">
        <is>
          <t>Arriendo / Dividendo</t>
        </is>
      </c>
      <c r="C9" s="12" t="n">
        <v>0</v>
      </c>
      <c r="D9" s="11" t="inlineStr">
        <is>
          <t>Sueldo neto</t>
        </is>
      </c>
      <c r="E9" s="13" t="n">
        <v>0</v>
      </c>
      <c r="F9" s="1" t="n"/>
      <c r="G9" s="1" t="n"/>
      <c r="H9" s="1" t="n"/>
    </row>
    <row r="10" ht="20" customHeight="1">
      <c r="A10" s="1" t="n"/>
      <c r="B10" s="11" t="inlineStr">
        <is>
          <t>Alimentación</t>
        </is>
      </c>
      <c r="C10" s="12" t="n">
        <v>0</v>
      </c>
      <c r="D10" s="11" t="inlineStr">
        <is>
          <t>Honorarios / Freelance</t>
        </is>
      </c>
      <c r="E10" s="13" t="n">
        <v>0</v>
      </c>
      <c r="F10" s="1" t="n"/>
      <c r="G10" s="1" t="n"/>
      <c r="H10" s="1" t="n"/>
    </row>
    <row r="11" ht="20" customHeight="1">
      <c r="A11" s="1" t="n"/>
      <c r="B11" s="11" t="inlineStr">
        <is>
          <t>Transporte</t>
        </is>
      </c>
      <c r="C11" s="12" t="n">
        <v>0</v>
      </c>
      <c r="D11" s="11" t="inlineStr">
        <is>
          <t>Arriendo recibido</t>
        </is>
      </c>
      <c r="E11" s="13" t="n">
        <v>0</v>
      </c>
      <c r="F11" s="1" t="n"/>
      <c r="G11" s="1" t="n"/>
      <c r="H11" s="1" t="n"/>
    </row>
    <row r="12" ht="20" customHeight="1">
      <c r="A12" s="1" t="n"/>
      <c r="B12" s="11" t="inlineStr">
        <is>
          <t>Servicios básicos</t>
        </is>
      </c>
      <c r="C12" s="12" t="n">
        <v>0</v>
      </c>
      <c r="D12" s="11" t="inlineStr">
        <is>
          <t>Inversiones</t>
        </is>
      </c>
      <c r="E12" s="13" t="n">
        <v>0</v>
      </c>
      <c r="F12" s="1" t="n"/>
      <c r="G12" s="1" t="n"/>
      <c r="H12" s="1" t="n"/>
    </row>
    <row r="13" ht="20" customHeight="1">
      <c r="A13" s="1" t="n"/>
      <c r="B13" s="11" t="inlineStr">
        <is>
          <t>Salud</t>
        </is>
      </c>
      <c r="C13" s="12" t="n">
        <v>0</v>
      </c>
      <c r="D13" s="11" t="inlineStr">
        <is>
          <t>Bonos / Comisiones</t>
        </is>
      </c>
      <c r="E13" s="13" t="n">
        <v>0</v>
      </c>
      <c r="F13" s="1" t="n"/>
      <c r="G13" s="1" t="n"/>
      <c r="H13" s="1" t="n"/>
    </row>
    <row r="14" ht="20" customHeight="1">
      <c r="A14" s="1" t="n"/>
      <c r="B14" s="11" t="inlineStr">
        <is>
          <t>Educación</t>
        </is>
      </c>
      <c r="C14" s="12" t="n">
        <v>0</v>
      </c>
      <c r="D14" s="11" t="inlineStr">
        <is>
          <t>Ventas</t>
        </is>
      </c>
      <c r="E14" s="13" t="n">
        <v>0</v>
      </c>
      <c r="F14" s="1" t="n"/>
      <c r="G14" s="1" t="n"/>
      <c r="H14" s="1" t="n"/>
    </row>
    <row r="15" ht="20" customHeight="1">
      <c r="A15" s="1" t="n"/>
      <c r="B15" s="11" t="inlineStr">
        <is>
          <t>Entretenimiento</t>
        </is>
      </c>
      <c r="C15" s="12" t="n">
        <v>0</v>
      </c>
      <c r="D15" s="11" t="inlineStr">
        <is>
          <t>Otros ingresos</t>
        </is>
      </c>
      <c r="E15" s="13" t="n">
        <v>0</v>
      </c>
      <c r="F15" s="1" t="n"/>
      <c r="G15" s="1" t="n"/>
      <c r="H15" s="1" t="n"/>
    </row>
    <row r="16" ht="20" customHeight="1">
      <c r="A16" s="1" t="n"/>
      <c r="B16" s="11" t="inlineStr">
        <is>
          <t>Ropa y calzado</t>
        </is>
      </c>
      <c r="C16" s="12" t="n">
        <v>0</v>
      </c>
      <c r="D16" s="1" t="n"/>
      <c r="E16" s="1" t="n"/>
      <c r="F16" s="1" t="n"/>
      <c r="G16" s="1" t="n"/>
      <c r="H16" s="1" t="n"/>
    </row>
    <row r="17" ht="20" customHeight="1">
      <c r="A17" s="1" t="n"/>
      <c r="B17" s="11" t="inlineStr">
        <is>
          <t>Restaurantes / Cafés</t>
        </is>
      </c>
      <c r="C17" s="12" t="n">
        <v>0</v>
      </c>
      <c r="D17" s="1" t="n"/>
      <c r="E17" s="1" t="n"/>
      <c r="F17" s="1" t="n"/>
      <c r="G17" s="1" t="n"/>
      <c r="H17" s="1" t="n"/>
    </row>
    <row r="18" ht="20" customHeight="1">
      <c r="A18" s="1" t="n"/>
      <c r="B18" s="11" t="inlineStr">
        <is>
          <t>Gym / Deporte</t>
        </is>
      </c>
      <c r="C18" s="12" t="n">
        <v>0</v>
      </c>
      <c r="D18" s="1" t="n"/>
      <c r="E18" s="1" t="n"/>
      <c r="F18" s="1" t="n"/>
      <c r="G18" s="1" t="n"/>
      <c r="H18" s="1" t="n"/>
    </row>
    <row r="19" ht="20" customHeight="1">
      <c r="A19" s="1" t="n"/>
      <c r="B19" s="11" t="inlineStr">
        <is>
          <t>Tecnología</t>
        </is>
      </c>
      <c r="C19" s="12" t="n">
        <v>0</v>
      </c>
      <c r="D19" s="1" t="n"/>
      <c r="E19" s="1" t="n"/>
      <c r="F19" s="1" t="n"/>
      <c r="G19" s="1" t="n"/>
      <c r="H19" s="1" t="n"/>
    </row>
    <row r="20" ht="20" customHeight="1">
      <c r="A20" s="1" t="n"/>
      <c r="B20" s="11" t="inlineStr">
        <is>
          <t>Cuidado personal</t>
        </is>
      </c>
      <c r="C20" s="12" t="n">
        <v>0</v>
      </c>
      <c r="D20" s="1" t="n"/>
      <c r="E20" s="1" t="n"/>
      <c r="F20" s="1" t="n"/>
      <c r="G20" s="1" t="n"/>
      <c r="H20" s="1" t="n"/>
    </row>
    <row r="21" ht="20" customHeight="1">
      <c r="A21" s="1" t="n"/>
      <c r="B21" s="11" t="inlineStr">
        <is>
          <t>Mascotas</t>
        </is>
      </c>
      <c r="C21" s="12" t="n">
        <v>0</v>
      </c>
      <c r="D21" s="1" t="n"/>
      <c r="E21" s="1" t="n"/>
      <c r="F21" s="1" t="n"/>
      <c r="G21" s="1" t="n"/>
      <c r="H21" s="1" t="n"/>
    </row>
    <row r="22" ht="20" customHeight="1">
      <c r="A22" s="1" t="n"/>
      <c r="B22" s="11" t="inlineStr">
        <is>
          <t>Regalos</t>
        </is>
      </c>
      <c r="C22" s="12" t="n">
        <v>0</v>
      </c>
      <c r="D22" s="1" t="n"/>
      <c r="E22" s="1" t="n"/>
      <c r="F22" s="1" t="n"/>
      <c r="G22" s="1" t="n"/>
      <c r="H22" s="1" t="n"/>
    </row>
    <row r="23" ht="20" customHeight="1">
      <c r="A23" s="1" t="n"/>
      <c r="B23" s="11" t="inlineStr">
        <is>
          <t>Ahorro</t>
        </is>
      </c>
      <c r="C23" s="12" t="n">
        <v>0</v>
      </c>
      <c r="D23" s="1" t="n"/>
      <c r="E23" s="1" t="n"/>
      <c r="F23" s="1" t="n"/>
      <c r="G23" s="1" t="n"/>
      <c r="H23" s="1" t="n"/>
    </row>
    <row r="24" ht="20" customHeight="1">
      <c r="A24" s="1" t="n"/>
      <c r="B24" s="11" t="inlineStr">
        <is>
          <t>Inversiones</t>
        </is>
      </c>
      <c r="C24" s="12" t="n">
        <v>0</v>
      </c>
      <c r="D24" s="1" t="n"/>
      <c r="E24" s="1" t="n"/>
      <c r="F24" s="1" t="n"/>
      <c r="G24" s="1" t="n"/>
      <c r="H24" s="1" t="n"/>
    </row>
    <row r="25" ht="20" customHeight="1">
      <c r="A25" s="1" t="n"/>
      <c r="B25" s="11" t="inlineStr">
        <is>
          <t>Otros</t>
        </is>
      </c>
      <c r="C25" s="12" t="n">
        <v>0</v>
      </c>
      <c r="D25" s="1" t="n"/>
      <c r="E25" s="1" t="n"/>
      <c r="F25" s="1" t="n"/>
      <c r="G25" s="1" t="n"/>
      <c r="H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</sheetData>
  <mergeCells count="8">
    <mergeCell ref="B8"/>
    <mergeCell ref="E8"/>
    <mergeCell ref="C8"/>
    <mergeCell ref="D7:E7"/>
    <mergeCell ref="B7:C7"/>
    <mergeCell ref="D8"/>
    <mergeCell ref="B5:E5"/>
    <mergeCell ref="B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18" customWidth="1" min="4" max="4"/>
    <col width="14" customWidth="1" min="5" max="5"/>
    <col width="12" customWidth="1" min="6" max="6"/>
    <col width="14" customWidth="1" min="7" max="7"/>
    <col width="2" customWidth="1" min="8" max="8"/>
    <col width="26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14" t="inlineStr">
        <is>
          <t>ENERO  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6" customHeight="1">
      <c r="A4" s="1" t="n"/>
      <c r="B4" s="15" t="inlineStr">
        <is>
          <t>💰 INGRESOS</t>
        </is>
      </c>
      <c r="C4" s="15" t="inlineStr">
        <is>
          <t>💸 GASTOS</t>
        </is>
      </c>
      <c r="D4" s="15" t="inlineStr">
        <is>
          <t>💾 AHORRO</t>
        </is>
      </c>
      <c r="E4" s="15" t="inlineStr">
        <is>
          <t>% AHORRO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24" customHeight="1">
      <c r="A5" s="1" t="n"/>
      <c r="B5" s="16">
        <f>SUMIF(F8:F200,"Ingreso",E8:E200)</f>
        <v/>
      </c>
      <c r="C5" s="17">
        <f>SUMIF(F8:F200,"Gasto",E8:E200)</f>
        <v/>
      </c>
      <c r="D5" s="18">
        <f>SUMIF(F8:F200,"Ingreso",E8:E200)-SUMIF(F8:F200,"Gasto",E8:E200)</f>
        <v/>
      </c>
      <c r="E5" s="19">
        <f>IFERROR((SUMIF(F8:F200,"Ingreso",E8:E200)-SUMIF(F8:F200,"Gasto",E8:E200))/SUMIF(F8:F200,"Ingreso",E8:E200),0)</f>
        <v/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6" customHeight="1">
      <c r="A7" s="1" t="n"/>
      <c r="B7" s="20" t="inlineStr">
        <is>
          <t>📝  REGISTRO DE TRANSACCIONES</t>
        </is>
      </c>
      <c r="H7" s="1" t="n"/>
      <c r="I7" s="20" t="inlineStr">
        <is>
          <t>📊  PRESUPUESTO vs REAL</t>
        </is>
      </c>
      <c r="N7" s="1" t="n"/>
      <c r="O7" s="1" t="n"/>
      <c r="P7" s="1" t="n"/>
    </row>
    <row r="8" ht="16" customHeight="1">
      <c r="A8" s="1" t="n"/>
      <c r="B8" s="21" t="inlineStr">
        <is>
          <t>FECHA</t>
        </is>
      </c>
      <c r="C8" s="21" t="inlineStr">
        <is>
          <t>DESCRIPCIÓN</t>
        </is>
      </c>
      <c r="D8" s="21" t="inlineStr">
        <is>
          <t>CATEGORÍA</t>
        </is>
      </c>
      <c r="E8" s="21" t="inlineStr">
        <is>
          <t>MONTO</t>
        </is>
      </c>
      <c r="F8" s="21" t="inlineStr">
        <is>
          <t>TIPO</t>
        </is>
      </c>
      <c r="G8" s="21" t="inlineStr">
        <is>
          <t>ACUMULADO</t>
        </is>
      </c>
      <c r="H8" s="1" t="n"/>
      <c r="I8" s="21" t="inlineStr">
        <is>
          <t>CATEGORÍA</t>
        </is>
      </c>
      <c r="J8" s="21" t="inlineStr">
        <is>
          <t>PRESUPUESTO</t>
        </is>
      </c>
      <c r="K8" s="21" t="inlineStr">
        <is>
          <t>REAL</t>
        </is>
      </c>
      <c r="L8" s="21" t="inlineStr">
        <is>
          <t>DIFERENCIA</t>
        </is>
      </c>
      <c r="M8" s="21" t="inlineStr">
        <is>
          <t>ESTADO</t>
        </is>
      </c>
      <c r="N8" s="1" t="n"/>
      <c r="O8" s="1" t="n"/>
      <c r="P8" s="1" t="n"/>
    </row>
    <row r="9" ht="16" customHeight="1">
      <c r="A9" s="1" t="n"/>
      <c r="B9" s="22" t="inlineStr"/>
      <c r="C9" s="23" t="inlineStr"/>
      <c r="D9" s="24" t="inlineStr"/>
      <c r="E9" s="25" t="inlineStr"/>
      <c r="F9" s="26" t="inlineStr">
        <is>
          <t>Ingreso</t>
        </is>
      </c>
      <c r="G9" s="27">
        <f>IF(F9="Ingreso",E9,-E9)</f>
        <v/>
      </c>
      <c r="H9" s="1" t="n"/>
      <c r="I9" s="11">
        <f>'⚙️ Configuración'!B9</f>
        <v/>
      </c>
      <c r="J9" s="28">
        <f>'⚙️ Configuración'!C9</f>
        <v/>
      </c>
      <c r="K9" s="29">
        <f>SUMIF(D9:D48,I9,E9:E48)</f>
        <v/>
      </c>
      <c r="L9" s="30">
        <f>J9-K9</f>
        <v/>
      </c>
      <c r="M9" s="26">
        <f>IF(L9&gt;=0,"✅ OK","⚠️ Excedido")</f>
        <v/>
      </c>
      <c r="N9" s="1" t="n"/>
      <c r="O9" s="1" t="n"/>
      <c r="P9" s="1" t="n"/>
    </row>
    <row r="10" ht="16" customHeight="1">
      <c r="A10" s="1" t="n"/>
      <c r="B10" s="22" t="inlineStr"/>
      <c r="C10" s="23" t="inlineStr"/>
      <c r="D10" s="24" t="inlineStr"/>
      <c r="E10" s="25" t="inlineStr"/>
      <c r="F10" s="31" t="inlineStr">
        <is>
          <t>Gasto</t>
        </is>
      </c>
      <c r="G10" s="27">
        <f>IF(E10="",G9,IF(F10="Ingreso",G9+E10,G9-E10))</f>
        <v/>
      </c>
      <c r="H10" s="1" t="n"/>
      <c r="I10" s="11">
        <f>'⚙️ Configuración'!B10</f>
        <v/>
      </c>
      <c r="J10" s="28">
        <f>'⚙️ Configuración'!C10</f>
        <v/>
      </c>
      <c r="K10" s="29">
        <f>SUMIF(D9:D48,I10,E9:E48)</f>
        <v/>
      </c>
      <c r="L10" s="30">
        <f>J10-K10</f>
        <v/>
      </c>
      <c r="M10" s="26">
        <f>IF(L10&gt;=0,"✅ OK","⚠️ Excedido")</f>
        <v/>
      </c>
      <c r="N10" s="1" t="n"/>
      <c r="O10" s="1" t="n"/>
      <c r="P10" s="1" t="n"/>
    </row>
    <row r="11" ht="16" customHeight="1">
      <c r="A11" s="1" t="n"/>
      <c r="B11" s="22" t="inlineStr"/>
      <c r="C11" s="23" t="inlineStr"/>
      <c r="D11" s="24" t="inlineStr"/>
      <c r="E11" s="25" t="inlineStr"/>
      <c r="F11" s="31" t="inlineStr">
        <is>
          <t>Gasto</t>
        </is>
      </c>
      <c r="G11" s="27">
        <f>IF(E11="",G10,IF(F11="Ingreso",G10+E11,G10-E11))</f>
        <v/>
      </c>
      <c r="H11" s="1" t="n"/>
      <c r="I11" s="11">
        <f>'⚙️ Configuración'!B11</f>
        <v/>
      </c>
      <c r="J11" s="28">
        <f>'⚙️ Configuración'!C11</f>
        <v/>
      </c>
      <c r="K11" s="29">
        <f>SUMIF(D9:D48,I11,E9:E48)</f>
        <v/>
      </c>
      <c r="L11" s="30">
        <f>J11-K11</f>
        <v/>
      </c>
      <c r="M11" s="26">
        <f>IF(L11&gt;=0,"✅ OK","⚠️ Excedido")</f>
        <v/>
      </c>
      <c r="N11" s="1" t="n"/>
      <c r="O11" s="1" t="n"/>
      <c r="P11" s="1" t="n"/>
    </row>
    <row r="12" ht="16" customHeight="1">
      <c r="A12" s="1" t="n"/>
      <c r="B12" s="22" t="inlineStr"/>
      <c r="C12" s="23" t="inlineStr"/>
      <c r="D12" s="24" t="inlineStr"/>
      <c r="E12" s="25" t="inlineStr"/>
      <c r="F12" s="31" t="inlineStr">
        <is>
          <t>Gasto</t>
        </is>
      </c>
      <c r="G12" s="27">
        <f>IF(E12="",G11,IF(F12="Ingreso",G11+E12,G11-E12))</f>
        <v/>
      </c>
      <c r="H12" s="1" t="n"/>
      <c r="I12" s="11">
        <f>'⚙️ Configuración'!B12</f>
        <v/>
      </c>
      <c r="J12" s="28">
        <f>'⚙️ Configuración'!C12</f>
        <v/>
      </c>
      <c r="K12" s="29">
        <f>SUMIF(D9:D48,I12,E9:E48)</f>
        <v/>
      </c>
      <c r="L12" s="30">
        <f>J12-K12</f>
        <v/>
      </c>
      <c r="M12" s="26">
        <f>IF(L12&gt;=0,"✅ OK","⚠️ Excedido")</f>
        <v/>
      </c>
      <c r="N12" s="1" t="n"/>
      <c r="O12" s="1" t="n"/>
      <c r="P12" s="1" t="n"/>
    </row>
    <row r="13" ht="16" customHeight="1">
      <c r="A13" s="1" t="n"/>
      <c r="B13" s="22" t="inlineStr"/>
      <c r="C13" s="23" t="inlineStr"/>
      <c r="D13" s="24" t="inlineStr"/>
      <c r="E13" s="25" t="inlineStr"/>
      <c r="F13" s="31" t="inlineStr">
        <is>
          <t>Gasto</t>
        </is>
      </c>
      <c r="G13" s="27">
        <f>IF(E13="",G12,IF(F13="Ingreso",G12+E13,G12-E13))</f>
        <v/>
      </c>
      <c r="H13" s="1" t="n"/>
      <c r="I13" s="11">
        <f>'⚙️ Configuración'!B13</f>
        <v/>
      </c>
      <c r="J13" s="28">
        <f>'⚙️ Configuración'!C13</f>
        <v/>
      </c>
      <c r="K13" s="29">
        <f>SUMIF(D9:D48,I13,E9:E48)</f>
        <v/>
      </c>
      <c r="L13" s="30">
        <f>J13-K13</f>
        <v/>
      </c>
      <c r="M13" s="26">
        <f>IF(L13&gt;=0,"✅ OK","⚠️ Excedido")</f>
        <v/>
      </c>
      <c r="N13" s="1" t="n"/>
      <c r="O13" s="1" t="n"/>
      <c r="P13" s="1" t="n"/>
    </row>
    <row r="14" ht="16" customHeight="1">
      <c r="A14" s="1" t="n"/>
      <c r="B14" s="22" t="inlineStr"/>
      <c r="C14" s="23" t="inlineStr"/>
      <c r="D14" s="24" t="inlineStr"/>
      <c r="E14" s="25" t="inlineStr"/>
      <c r="F14" s="31" t="inlineStr">
        <is>
          <t>Gasto</t>
        </is>
      </c>
      <c r="G14" s="27">
        <f>IF(E14="",G13,IF(F14="Ingreso",G13+E14,G13-E14))</f>
        <v/>
      </c>
      <c r="H14" s="1" t="n"/>
      <c r="I14" s="11">
        <f>'⚙️ Configuración'!B14</f>
        <v/>
      </c>
      <c r="J14" s="28">
        <f>'⚙️ Configuración'!C14</f>
        <v/>
      </c>
      <c r="K14" s="29">
        <f>SUMIF(D9:D48,I14,E9:E48)</f>
        <v/>
      </c>
      <c r="L14" s="30">
        <f>J14-K14</f>
        <v/>
      </c>
      <c r="M14" s="26">
        <f>IF(L14&gt;=0,"✅ OK","⚠️ Excedido")</f>
        <v/>
      </c>
      <c r="N14" s="1" t="n"/>
      <c r="O14" s="1" t="n"/>
      <c r="P14" s="1" t="n"/>
    </row>
    <row r="15" ht="16" customHeight="1">
      <c r="A15" s="1" t="n"/>
      <c r="B15" s="22" t="inlineStr"/>
      <c r="C15" s="23" t="inlineStr"/>
      <c r="D15" s="24" t="inlineStr"/>
      <c r="E15" s="25" t="inlineStr"/>
      <c r="F15" s="31" t="inlineStr">
        <is>
          <t>Gasto</t>
        </is>
      </c>
      <c r="G15" s="27">
        <f>IF(E15="",G14,IF(F15="Ingreso",G14+E15,G14-E15))</f>
        <v/>
      </c>
      <c r="H15" s="1" t="n"/>
      <c r="I15" s="11">
        <f>'⚙️ Configuración'!B15</f>
        <v/>
      </c>
      <c r="J15" s="28">
        <f>'⚙️ Configuración'!C15</f>
        <v/>
      </c>
      <c r="K15" s="29">
        <f>SUMIF(D9:D48,I15,E9:E48)</f>
        <v/>
      </c>
      <c r="L15" s="30">
        <f>J15-K15</f>
        <v/>
      </c>
      <c r="M15" s="26">
        <f>IF(L15&gt;=0,"✅ OK","⚠️ Excedido")</f>
        <v/>
      </c>
      <c r="N15" s="1" t="n"/>
      <c r="O15" s="1" t="n"/>
      <c r="P15" s="1" t="n"/>
    </row>
    <row r="16" ht="16" customHeight="1">
      <c r="A16" s="1" t="n"/>
      <c r="B16" s="22" t="inlineStr"/>
      <c r="C16" s="23" t="inlineStr"/>
      <c r="D16" s="24" t="inlineStr"/>
      <c r="E16" s="25" t="inlineStr"/>
      <c r="F16" s="31" t="inlineStr">
        <is>
          <t>Gasto</t>
        </is>
      </c>
      <c r="G16" s="27">
        <f>IF(E16="",G15,IF(F16="Ingreso",G15+E16,G15-E16))</f>
        <v/>
      </c>
      <c r="H16" s="1" t="n"/>
      <c r="I16" s="11">
        <f>'⚙️ Configuración'!B16</f>
        <v/>
      </c>
      <c r="J16" s="28">
        <f>'⚙️ Configuración'!C16</f>
        <v/>
      </c>
      <c r="K16" s="29">
        <f>SUMIF(D9:D48,I16,E9:E48)</f>
        <v/>
      </c>
      <c r="L16" s="30">
        <f>J16-K16</f>
        <v/>
      </c>
      <c r="M16" s="26">
        <f>IF(L16&gt;=0,"✅ OK","⚠️ Excedido")</f>
        <v/>
      </c>
      <c r="N16" s="1" t="n"/>
      <c r="O16" s="1" t="n"/>
      <c r="P16" s="1" t="n"/>
    </row>
    <row r="17" ht="16" customHeight="1">
      <c r="A17" s="1" t="n"/>
      <c r="B17" s="22" t="inlineStr"/>
      <c r="C17" s="23" t="inlineStr"/>
      <c r="D17" s="24" t="inlineStr"/>
      <c r="E17" s="25" t="inlineStr"/>
      <c r="F17" s="31" t="inlineStr">
        <is>
          <t>Gasto</t>
        </is>
      </c>
      <c r="G17" s="27">
        <f>IF(E17="",G16,IF(F17="Ingreso",G16+E17,G16-E17))</f>
        <v/>
      </c>
      <c r="H17" s="1" t="n"/>
      <c r="I17" s="11">
        <f>'⚙️ Configuración'!B17</f>
        <v/>
      </c>
      <c r="J17" s="28">
        <f>'⚙️ Configuración'!C17</f>
        <v/>
      </c>
      <c r="K17" s="29">
        <f>SUMIF(D9:D48,I17,E9:E48)</f>
        <v/>
      </c>
      <c r="L17" s="30">
        <f>J17-K17</f>
        <v/>
      </c>
      <c r="M17" s="26">
        <f>IF(L17&gt;=0,"✅ OK","⚠️ Excedido")</f>
        <v/>
      </c>
      <c r="N17" s="1" t="n"/>
      <c r="O17" s="1" t="n"/>
      <c r="P17" s="1" t="n"/>
    </row>
    <row r="18" ht="16" customHeight="1">
      <c r="A18" s="1" t="n"/>
      <c r="B18" s="22" t="inlineStr"/>
      <c r="C18" s="23" t="inlineStr"/>
      <c r="D18" s="24" t="inlineStr"/>
      <c r="E18" s="25" t="inlineStr"/>
      <c r="F18" s="31" t="inlineStr">
        <is>
          <t>Gasto</t>
        </is>
      </c>
      <c r="G18" s="27">
        <f>IF(E18="",G17,IF(F18="Ingreso",G17+E18,G17-E18))</f>
        <v/>
      </c>
      <c r="H18" s="1" t="n"/>
      <c r="I18" s="11">
        <f>'⚙️ Configuración'!B18</f>
        <v/>
      </c>
      <c r="J18" s="28">
        <f>'⚙️ Configuración'!C18</f>
        <v/>
      </c>
      <c r="K18" s="29">
        <f>SUMIF(D9:D48,I18,E9:E48)</f>
        <v/>
      </c>
      <c r="L18" s="30">
        <f>J18-K18</f>
        <v/>
      </c>
      <c r="M18" s="26">
        <f>IF(L18&gt;=0,"✅ OK","⚠️ Excedido")</f>
        <v/>
      </c>
      <c r="N18" s="1" t="n"/>
      <c r="O18" s="1" t="n"/>
      <c r="P18" s="1" t="n"/>
    </row>
    <row r="19" ht="16" customHeight="1">
      <c r="A19" s="1" t="n"/>
      <c r="B19" s="22" t="inlineStr"/>
      <c r="C19" s="23" t="inlineStr"/>
      <c r="D19" s="24" t="inlineStr"/>
      <c r="E19" s="25" t="inlineStr"/>
      <c r="F19" s="31" t="inlineStr">
        <is>
          <t>Gasto</t>
        </is>
      </c>
      <c r="G19" s="27">
        <f>IF(E19="",G18,IF(F19="Ingreso",G18+E19,G18-E19))</f>
        <v/>
      </c>
      <c r="H19" s="1" t="n"/>
      <c r="I19" s="11">
        <f>'⚙️ Configuración'!B19</f>
        <v/>
      </c>
      <c r="J19" s="28">
        <f>'⚙️ Configuración'!C19</f>
        <v/>
      </c>
      <c r="K19" s="29">
        <f>SUMIF(D9:D48,I19,E9:E48)</f>
        <v/>
      </c>
      <c r="L19" s="30">
        <f>J19-K19</f>
        <v/>
      </c>
      <c r="M19" s="26">
        <f>IF(L19&gt;=0,"✅ OK","⚠️ Excedido")</f>
        <v/>
      </c>
      <c r="N19" s="1" t="n"/>
      <c r="O19" s="1" t="n"/>
      <c r="P19" s="1" t="n"/>
    </row>
    <row r="20" ht="16" customHeight="1">
      <c r="A20" s="1" t="n"/>
      <c r="B20" s="22" t="inlineStr"/>
      <c r="C20" s="23" t="inlineStr"/>
      <c r="D20" s="24" t="inlineStr"/>
      <c r="E20" s="25" t="inlineStr"/>
      <c r="F20" s="31" t="inlineStr">
        <is>
          <t>Gasto</t>
        </is>
      </c>
      <c r="G20" s="27">
        <f>IF(E20="",G19,IF(F20="Ingreso",G19+E20,G19-E20))</f>
        <v/>
      </c>
      <c r="H20" s="1" t="n"/>
      <c r="I20" s="11">
        <f>'⚙️ Configuración'!B20</f>
        <v/>
      </c>
      <c r="J20" s="28">
        <f>'⚙️ Configuración'!C20</f>
        <v/>
      </c>
      <c r="K20" s="29">
        <f>SUMIF(D9:D48,I20,E9:E48)</f>
        <v/>
      </c>
      <c r="L20" s="30">
        <f>J20-K20</f>
        <v/>
      </c>
      <c r="M20" s="26">
        <f>IF(L20&gt;=0,"✅ OK","⚠️ Excedido")</f>
        <v/>
      </c>
      <c r="N20" s="1" t="n"/>
      <c r="O20" s="1" t="n"/>
      <c r="P20" s="1" t="n"/>
    </row>
    <row r="21" ht="16" customHeight="1">
      <c r="A21" s="1" t="n"/>
      <c r="B21" s="22" t="inlineStr"/>
      <c r="C21" s="23" t="inlineStr"/>
      <c r="D21" s="24" t="inlineStr"/>
      <c r="E21" s="25" t="inlineStr"/>
      <c r="F21" s="31" t="inlineStr">
        <is>
          <t>Gasto</t>
        </is>
      </c>
      <c r="G21" s="27">
        <f>IF(E21="",G20,IF(F21="Ingreso",G20+E21,G20-E21))</f>
        <v/>
      </c>
      <c r="H21" s="1" t="n"/>
      <c r="I21" s="11">
        <f>'⚙️ Configuración'!B21</f>
        <v/>
      </c>
      <c r="J21" s="28">
        <f>'⚙️ Configuración'!C21</f>
        <v/>
      </c>
      <c r="K21" s="29">
        <f>SUMIF(D9:D48,I21,E9:E48)</f>
        <v/>
      </c>
      <c r="L21" s="30">
        <f>J21-K21</f>
        <v/>
      </c>
      <c r="M21" s="26">
        <f>IF(L21&gt;=0,"✅ OK","⚠️ Excedido")</f>
        <v/>
      </c>
      <c r="N21" s="1" t="n"/>
      <c r="O21" s="1" t="n"/>
      <c r="P21" s="1" t="n"/>
    </row>
    <row r="22" ht="16" customHeight="1">
      <c r="A22" s="1" t="n"/>
      <c r="B22" s="22" t="inlineStr"/>
      <c r="C22" s="23" t="inlineStr"/>
      <c r="D22" s="24" t="inlineStr"/>
      <c r="E22" s="25" t="inlineStr"/>
      <c r="F22" s="31" t="inlineStr">
        <is>
          <t>Gasto</t>
        </is>
      </c>
      <c r="G22" s="27">
        <f>IF(E22="",G21,IF(F22="Ingreso",G21+E22,G21-E22))</f>
        <v/>
      </c>
      <c r="H22" s="1" t="n"/>
      <c r="I22" s="11">
        <f>'⚙️ Configuración'!B22</f>
        <v/>
      </c>
      <c r="J22" s="28">
        <f>'⚙️ Configuración'!C22</f>
        <v/>
      </c>
      <c r="K22" s="29">
        <f>SUMIF(D9:D48,I22,E9:E48)</f>
        <v/>
      </c>
      <c r="L22" s="30">
        <f>J22-K22</f>
        <v/>
      </c>
      <c r="M22" s="26">
        <f>IF(L22&gt;=0,"✅ OK","⚠️ Excedido")</f>
        <v/>
      </c>
      <c r="N22" s="1" t="n"/>
      <c r="O22" s="1" t="n"/>
      <c r="P22" s="1" t="n"/>
    </row>
    <row r="23" ht="16" customHeight="1">
      <c r="A23" s="1" t="n"/>
      <c r="B23" s="22" t="inlineStr"/>
      <c r="C23" s="23" t="inlineStr"/>
      <c r="D23" s="24" t="inlineStr"/>
      <c r="E23" s="25" t="inlineStr"/>
      <c r="F23" s="31" t="inlineStr">
        <is>
          <t>Gasto</t>
        </is>
      </c>
      <c r="G23" s="27">
        <f>IF(E23="",G22,IF(F23="Ingreso",G22+E23,G22-E23))</f>
        <v/>
      </c>
      <c r="H23" s="1" t="n"/>
      <c r="I23" s="11">
        <f>'⚙️ Configuración'!B23</f>
        <v/>
      </c>
      <c r="J23" s="28">
        <f>'⚙️ Configuración'!C23</f>
        <v/>
      </c>
      <c r="K23" s="29">
        <f>SUMIF(D9:D48,I23,E9:E48)</f>
        <v/>
      </c>
      <c r="L23" s="30">
        <f>J23-K23</f>
        <v/>
      </c>
      <c r="M23" s="26">
        <f>IF(L23&gt;=0,"✅ OK","⚠️ Excedido")</f>
        <v/>
      </c>
      <c r="N23" s="1" t="n"/>
      <c r="O23" s="1" t="n"/>
      <c r="P23" s="1" t="n"/>
    </row>
    <row r="24" ht="16" customHeight="1">
      <c r="A24" s="1" t="n"/>
      <c r="B24" s="22" t="inlineStr"/>
      <c r="C24" s="23" t="inlineStr"/>
      <c r="D24" s="24" t="inlineStr"/>
      <c r="E24" s="25" t="inlineStr"/>
      <c r="F24" s="31" t="inlineStr">
        <is>
          <t>Gasto</t>
        </is>
      </c>
      <c r="G24" s="27">
        <f>IF(E24="",G23,IF(F24="Ingreso",G23+E24,G23-E24))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6" customHeight="1">
      <c r="A25" s="1" t="n"/>
      <c r="B25" s="22" t="inlineStr"/>
      <c r="C25" s="23" t="inlineStr"/>
      <c r="D25" s="24" t="inlineStr"/>
      <c r="E25" s="25" t="inlineStr"/>
      <c r="F25" s="31" t="inlineStr">
        <is>
          <t>Gasto</t>
        </is>
      </c>
      <c r="G25" s="27">
        <f>IF(E25="",G24,IF(F25="Ingreso",G24+E25,G24-E25))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6" customHeight="1">
      <c r="A26" s="1" t="n"/>
      <c r="B26" s="22" t="inlineStr"/>
      <c r="C26" s="23" t="inlineStr"/>
      <c r="D26" s="24" t="inlineStr"/>
      <c r="E26" s="25" t="inlineStr"/>
      <c r="F26" s="31" t="inlineStr">
        <is>
          <t>Gasto</t>
        </is>
      </c>
      <c r="G26" s="27">
        <f>IF(E26="",G25,IF(F26="Ingreso",G25+E26,G25-E26))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6" customHeight="1">
      <c r="A27" s="1" t="n"/>
      <c r="B27" s="22" t="inlineStr"/>
      <c r="C27" s="23" t="inlineStr"/>
      <c r="D27" s="24" t="inlineStr"/>
      <c r="E27" s="25" t="inlineStr"/>
      <c r="F27" s="31" t="inlineStr">
        <is>
          <t>Gasto</t>
        </is>
      </c>
      <c r="G27" s="27">
        <f>IF(E27="",G26,IF(F27="Ingreso",G26+E27,G26-E27))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6" customHeight="1">
      <c r="A28" s="1" t="n"/>
      <c r="B28" s="22" t="inlineStr"/>
      <c r="C28" s="23" t="inlineStr"/>
      <c r="D28" s="24" t="inlineStr"/>
      <c r="E28" s="25" t="inlineStr"/>
      <c r="F28" s="31" t="inlineStr">
        <is>
          <t>Gasto</t>
        </is>
      </c>
      <c r="G28" s="27">
        <f>IF(E28="",G27,IF(F28="Ingreso",G27+E28,G27-E28))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6" customHeight="1">
      <c r="A29" s="1" t="n"/>
      <c r="B29" s="22" t="inlineStr"/>
      <c r="C29" s="23" t="inlineStr"/>
      <c r="D29" s="24" t="inlineStr"/>
      <c r="E29" s="25" t="inlineStr"/>
      <c r="F29" s="31" t="inlineStr">
        <is>
          <t>Gasto</t>
        </is>
      </c>
      <c r="G29" s="27">
        <f>IF(E29="",G28,IF(F29="Ingreso",G28+E29,G28-E29))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6" customHeight="1">
      <c r="A30" s="1" t="n"/>
      <c r="B30" s="22" t="inlineStr"/>
      <c r="C30" s="23" t="inlineStr"/>
      <c r="D30" s="24" t="inlineStr"/>
      <c r="E30" s="25" t="inlineStr"/>
      <c r="F30" s="31" t="inlineStr">
        <is>
          <t>Gasto</t>
        </is>
      </c>
      <c r="G30" s="27">
        <f>IF(E30="",G29,IF(F30="Ingreso",G29+E30,G29-E30))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6" customHeight="1">
      <c r="A31" s="1" t="n"/>
      <c r="B31" s="22" t="inlineStr"/>
      <c r="C31" s="23" t="inlineStr"/>
      <c r="D31" s="24" t="inlineStr"/>
      <c r="E31" s="25" t="inlineStr"/>
      <c r="F31" s="31" t="inlineStr">
        <is>
          <t>Gasto</t>
        </is>
      </c>
      <c r="G31" s="27">
        <f>IF(E31="",G30,IF(F31="Ingreso",G30+E31,G30-E31))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6" customHeight="1">
      <c r="A32" s="1" t="n"/>
      <c r="B32" s="22" t="inlineStr"/>
      <c r="C32" s="23" t="inlineStr"/>
      <c r="D32" s="24" t="inlineStr"/>
      <c r="E32" s="25" t="inlineStr"/>
      <c r="F32" s="31" t="inlineStr">
        <is>
          <t>Gasto</t>
        </is>
      </c>
      <c r="G32" s="27">
        <f>IF(E32="",G31,IF(F32="Ingreso",G31+E32,G31-E32))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6" customHeight="1">
      <c r="A33" s="1" t="n"/>
      <c r="B33" s="22" t="inlineStr"/>
      <c r="C33" s="23" t="inlineStr"/>
      <c r="D33" s="24" t="inlineStr"/>
      <c r="E33" s="25" t="inlineStr"/>
      <c r="F33" s="31" t="inlineStr">
        <is>
          <t>Gasto</t>
        </is>
      </c>
      <c r="G33" s="27">
        <f>IF(E33="",G32,IF(F33="Ingreso",G32+E33,G32-E33))</f>
        <v/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6" customHeight="1">
      <c r="A34" s="1" t="n"/>
      <c r="B34" s="22" t="inlineStr"/>
      <c r="C34" s="23" t="inlineStr"/>
      <c r="D34" s="24" t="inlineStr"/>
      <c r="E34" s="25" t="inlineStr"/>
      <c r="F34" s="31" t="inlineStr">
        <is>
          <t>Gasto</t>
        </is>
      </c>
      <c r="G34" s="27">
        <f>IF(E34="",G33,IF(F34="Ingreso",G33+E34,G33-E34))</f>
        <v/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6" customHeight="1">
      <c r="A35" s="1" t="n"/>
      <c r="B35" s="22" t="inlineStr"/>
      <c r="C35" s="23" t="inlineStr"/>
      <c r="D35" s="24" t="inlineStr"/>
      <c r="E35" s="25" t="inlineStr"/>
      <c r="F35" s="31" t="inlineStr">
        <is>
          <t>Gasto</t>
        </is>
      </c>
      <c r="G35" s="27">
        <f>IF(E35="",G34,IF(F35="Ingreso",G34+E35,G34-E35))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6" customHeight="1">
      <c r="A36" s="1" t="n"/>
      <c r="B36" s="22" t="inlineStr"/>
      <c r="C36" s="23" t="inlineStr"/>
      <c r="D36" s="24" t="inlineStr"/>
      <c r="E36" s="25" t="inlineStr"/>
      <c r="F36" s="31" t="inlineStr">
        <is>
          <t>Gasto</t>
        </is>
      </c>
      <c r="G36" s="27">
        <f>IF(E36="",G35,IF(F36="Ingreso",G35+E36,G35-E36))</f>
        <v/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6" customHeight="1">
      <c r="A37" s="1" t="n"/>
      <c r="B37" s="22" t="inlineStr"/>
      <c r="C37" s="23" t="inlineStr"/>
      <c r="D37" s="24" t="inlineStr"/>
      <c r="E37" s="25" t="inlineStr"/>
      <c r="F37" s="31" t="inlineStr">
        <is>
          <t>Gasto</t>
        </is>
      </c>
      <c r="G37" s="27">
        <f>IF(E37="",G36,IF(F37="Ingreso",G36+E37,G36-E37))</f>
        <v/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6" customHeight="1">
      <c r="A38" s="1" t="n"/>
      <c r="B38" s="22" t="inlineStr"/>
      <c r="C38" s="23" t="inlineStr"/>
      <c r="D38" s="24" t="inlineStr"/>
      <c r="E38" s="25" t="inlineStr"/>
      <c r="F38" s="31" t="inlineStr">
        <is>
          <t>Gasto</t>
        </is>
      </c>
      <c r="G38" s="27">
        <f>IF(E38="",G37,IF(F38="Ingreso",G37+E38,G37-E38))</f>
        <v/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6" customHeight="1">
      <c r="A39" s="1" t="n"/>
      <c r="B39" s="22" t="inlineStr"/>
      <c r="C39" s="23" t="inlineStr"/>
      <c r="D39" s="24" t="inlineStr"/>
      <c r="E39" s="25" t="inlineStr"/>
      <c r="F39" s="31" t="inlineStr">
        <is>
          <t>Gasto</t>
        </is>
      </c>
      <c r="G39" s="27">
        <f>IF(E39="",G38,IF(F39="Ingreso",G38+E39,G38-E39))</f>
        <v/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6" customHeight="1">
      <c r="A40" s="1" t="n"/>
      <c r="B40" s="22" t="inlineStr"/>
      <c r="C40" s="23" t="inlineStr"/>
      <c r="D40" s="24" t="inlineStr"/>
      <c r="E40" s="25" t="inlineStr"/>
      <c r="F40" s="31" t="inlineStr">
        <is>
          <t>Gasto</t>
        </is>
      </c>
      <c r="G40" s="27">
        <f>IF(E40="",G39,IF(F40="Ingreso",G39+E40,G39-E40))</f>
        <v/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16" customHeight="1">
      <c r="A41" s="1" t="n"/>
      <c r="B41" s="22" t="inlineStr"/>
      <c r="C41" s="23" t="inlineStr"/>
      <c r="D41" s="24" t="inlineStr"/>
      <c r="E41" s="25" t="inlineStr"/>
      <c r="F41" s="31" t="inlineStr">
        <is>
          <t>Gasto</t>
        </is>
      </c>
      <c r="G41" s="27">
        <f>IF(E41="",G40,IF(F41="Ingreso",G40+E41,G40-E41))</f>
        <v/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6" customHeight="1">
      <c r="A42" s="1" t="n"/>
      <c r="B42" s="22" t="inlineStr"/>
      <c r="C42" s="23" t="inlineStr"/>
      <c r="D42" s="24" t="inlineStr"/>
      <c r="E42" s="25" t="inlineStr"/>
      <c r="F42" s="31" t="inlineStr">
        <is>
          <t>Gasto</t>
        </is>
      </c>
      <c r="G42" s="27">
        <f>IF(E42="",G41,IF(F42="Ingreso",G41+E42,G41-E42))</f>
        <v/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16" customHeight="1">
      <c r="A43" s="1" t="n"/>
      <c r="B43" s="22" t="inlineStr"/>
      <c r="C43" s="23" t="inlineStr"/>
      <c r="D43" s="24" t="inlineStr"/>
      <c r="E43" s="25" t="inlineStr"/>
      <c r="F43" s="31" t="inlineStr">
        <is>
          <t>Gasto</t>
        </is>
      </c>
      <c r="G43" s="27">
        <f>IF(E43="",G42,IF(F43="Ingreso",G42+E43,G42-E43))</f>
        <v/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6" customHeight="1">
      <c r="A44" s="1" t="n"/>
      <c r="B44" s="22" t="inlineStr"/>
      <c r="C44" s="23" t="inlineStr"/>
      <c r="D44" s="24" t="inlineStr"/>
      <c r="E44" s="25" t="inlineStr"/>
      <c r="F44" s="31" t="inlineStr">
        <is>
          <t>Gasto</t>
        </is>
      </c>
      <c r="G44" s="27">
        <f>IF(E44="",G43,IF(F44="Ingreso",G43+E44,G43-E44))</f>
        <v/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6" customHeight="1">
      <c r="A45" s="1" t="n"/>
      <c r="B45" s="22" t="inlineStr"/>
      <c r="C45" s="23" t="inlineStr"/>
      <c r="D45" s="24" t="inlineStr"/>
      <c r="E45" s="25" t="inlineStr"/>
      <c r="F45" s="31" t="inlineStr">
        <is>
          <t>Gasto</t>
        </is>
      </c>
      <c r="G45" s="27">
        <f>IF(E45="",G44,IF(F45="Ingreso",G44+E45,G44-E45))</f>
        <v/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6" customHeight="1">
      <c r="A46" s="1" t="n"/>
      <c r="B46" s="22" t="inlineStr"/>
      <c r="C46" s="23" t="inlineStr"/>
      <c r="D46" s="24" t="inlineStr"/>
      <c r="E46" s="25" t="inlineStr"/>
      <c r="F46" s="31" t="inlineStr">
        <is>
          <t>Gasto</t>
        </is>
      </c>
      <c r="G46" s="27">
        <f>IF(E46="",G45,IF(F46="Ingreso",G45+E46,G45-E46))</f>
        <v/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6" customHeight="1">
      <c r="A47" s="1" t="n"/>
      <c r="B47" s="22" t="inlineStr"/>
      <c r="C47" s="23" t="inlineStr"/>
      <c r="D47" s="24" t="inlineStr"/>
      <c r="E47" s="25" t="inlineStr"/>
      <c r="F47" s="31" t="inlineStr">
        <is>
          <t>Gasto</t>
        </is>
      </c>
      <c r="G47" s="27">
        <f>IF(E47="",G46,IF(F47="Ingreso",G46+E47,G46-E47))</f>
        <v/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6" customHeight="1">
      <c r="A48" s="1" t="n"/>
      <c r="B48" s="22" t="inlineStr"/>
      <c r="C48" s="23" t="inlineStr"/>
      <c r="D48" s="24" t="inlineStr"/>
      <c r="E48" s="25" t="inlineStr"/>
      <c r="F48" s="31" t="inlineStr">
        <is>
          <t>Gasto</t>
        </is>
      </c>
      <c r="G48" s="27">
        <f>IF(E48="",G47,IF(F48="Ingreso",G47+E48,G47-E48))</f>
        <v/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 ht="16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 ht="1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 ht="16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 ht="16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 ht="16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 ht="1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 ht="1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 ht="1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 ht="1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 ht="1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 ht="1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 ht="1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 ht="1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 ht="1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 ht="1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 ht="1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 ht="1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</sheetData>
  <mergeCells count="3">
    <mergeCell ref="I7:M7"/>
    <mergeCell ref="B2:G2"/>
    <mergeCell ref="B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18" customWidth="1" min="4" max="4"/>
    <col width="14" customWidth="1" min="5" max="5"/>
    <col width="12" customWidth="1" min="6" max="6"/>
    <col width="14" customWidth="1" min="7" max="7"/>
    <col width="2" customWidth="1" min="8" max="8"/>
    <col width="26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32" t="inlineStr">
        <is>
          <t>FEBRERO  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6" customHeight="1">
      <c r="A4" s="1" t="n"/>
      <c r="B4" s="15" t="inlineStr">
        <is>
          <t>💰 INGRESOS</t>
        </is>
      </c>
      <c r="C4" s="15" t="inlineStr">
        <is>
          <t>💸 GASTOS</t>
        </is>
      </c>
      <c r="D4" s="15" t="inlineStr">
        <is>
          <t>💾 AHORRO</t>
        </is>
      </c>
      <c r="E4" s="15" t="inlineStr">
        <is>
          <t>% AHORRO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24" customHeight="1">
      <c r="A5" s="1" t="n"/>
      <c r="B5" s="16">
        <f>SUMIF(F8:F200,"Ingreso",E8:E200)</f>
        <v/>
      </c>
      <c r="C5" s="17">
        <f>SUMIF(F8:F200,"Gasto",E8:E200)</f>
        <v/>
      </c>
      <c r="D5" s="18">
        <f>SUMIF(F8:F200,"Ingreso",E8:E200)-SUMIF(F8:F200,"Gasto",E8:E200)</f>
        <v/>
      </c>
      <c r="E5" s="19">
        <f>IFERROR((SUMIF(F8:F200,"Ingreso",E8:E200)-SUMIF(F8:F200,"Gasto",E8:E200))/SUMIF(F8:F200,"Ingreso",E8:E200),0)</f>
        <v/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6" customHeight="1">
      <c r="A7" s="1" t="n"/>
      <c r="B7" s="33" t="inlineStr">
        <is>
          <t>📝  REGISTRO DE TRANSACCIONES</t>
        </is>
      </c>
      <c r="H7" s="1" t="n"/>
      <c r="I7" s="33" t="inlineStr">
        <is>
          <t>📊  PRESUPUESTO vs REAL</t>
        </is>
      </c>
      <c r="N7" s="1" t="n"/>
      <c r="O7" s="1" t="n"/>
      <c r="P7" s="1" t="n"/>
    </row>
    <row r="8" ht="16" customHeight="1">
      <c r="A8" s="1" t="n"/>
      <c r="B8" s="21" t="inlineStr">
        <is>
          <t>FECHA</t>
        </is>
      </c>
      <c r="C8" s="21" t="inlineStr">
        <is>
          <t>DESCRIPCIÓN</t>
        </is>
      </c>
      <c r="D8" s="21" t="inlineStr">
        <is>
          <t>CATEGORÍA</t>
        </is>
      </c>
      <c r="E8" s="21" t="inlineStr">
        <is>
          <t>MONTO</t>
        </is>
      </c>
      <c r="F8" s="21" t="inlineStr">
        <is>
          <t>TIPO</t>
        </is>
      </c>
      <c r="G8" s="21" t="inlineStr">
        <is>
          <t>ACUMULADO</t>
        </is>
      </c>
      <c r="H8" s="1" t="n"/>
      <c r="I8" s="21" t="inlineStr">
        <is>
          <t>CATEGORÍA</t>
        </is>
      </c>
      <c r="J8" s="21" t="inlineStr">
        <is>
          <t>PRESUPUESTO</t>
        </is>
      </c>
      <c r="K8" s="21" t="inlineStr">
        <is>
          <t>REAL</t>
        </is>
      </c>
      <c r="L8" s="21" t="inlineStr">
        <is>
          <t>DIFERENCIA</t>
        </is>
      </c>
      <c r="M8" s="21" t="inlineStr">
        <is>
          <t>ESTADO</t>
        </is>
      </c>
      <c r="N8" s="1" t="n"/>
      <c r="O8" s="1" t="n"/>
      <c r="P8" s="1" t="n"/>
    </row>
    <row r="9" ht="16" customHeight="1">
      <c r="A9" s="1" t="n"/>
      <c r="B9" s="22" t="inlineStr"/>
      <c r="C9" s="23" t="inlineStr"/>
      <c r="D9" s="24" t="inlineStr"/>
      <c r="E9" s="25" t="inlineStr"/>
      <c r="F9" s="26" t="inlineStr">
        <is>
          <t>Ingreso</t>
        </is>
      </c>
      <c r="G9" s="27">
        <f>IF(F9="Ingreso",E9,-E9)</f>
        <v/>
      </c>
      <c r="H9" s="1" t="n"/>
      <c r="I9" s="11">
        <f>'⚙️ Configuración'!B9</f>
        <v/>
      </c>
      <c r="J9" s="28">
        <f>'⚙️ Configuración'!C9</f>
        <v/>
      </c>
      <c r="K9" s="29">
        <f>SUMIF(D9:D48,I9,E9:E48)</f>
        <v/>
      </c>
      <c r="L9" s="30">
        <f>J9-K9</f>
        <v/>
      </c>
      <c r="M9" s="26">
        <f>IF(L9&gt;=0,"✅ OK","⚠️ Excedido")</f>
        <v/>
      </c>
      <c r="N9" s="1" t="n"/>
      <c r="O9" s="1" t="n"/>
      <c r="P9" s="1" t="n"/>
    </row>
    <row r="10" ht="16" customHeight="1">
      <c r="A10" s="1" t="n"/>
      <c r="B10" s="22" t="inlineStr"/>
      <c r="C10" s="23" t="inlineStr"/>
      <c r="D10" s="24" t="inlineStr"/>
      <c r="E10" s="25" t="inlineStr"/>
      <c r="F10" s="31" t="inlineStr">
        <is>
          <t>Gasto</t>
        </is>
      </c>
      <c r="G10" s="27">
        <f>IF(E10="",G9,IF(F10="Ingreso",G9+E10,G9-E10))</f>
        <v/>
      </c>
      <c r="H10" s="1" t="n"/>
      <c r="I10" s="11">
        <f>'⚙️ Configuración'!B10</f>
        <v/>
      </c>
      <c r="J10" s="28">
        <f>'⚙️ Configuración'!C10</f>
        <v/>
      </c>
      <c r="K10" s="29">
        <f>SUMIF(D9:D48,I10,E9:E48)</f>
        <v/>
      </c>
      <c r="L10" s="30">
        <f>J10-K10</f>
        <v/>
      </c>
      <c r="M10" s="26">
        <f>IF(L10&gt;=0,"✅ OK","⚠️ Excedido")</f>
        <v/>
      </c>
      <c r="N10" s="1" t="n"/>
      <c r="O10" s="1" t="n"/>
      <c r="P10" s="1" t="n"/>
    </row>
    <row r="11" ht="16" customHeight="1">
      <c r="A11" s="1" t="n"/>
      <c r="B11" s="22" t="inlineStr"/>
      <c r="C11" s="23" t="inlineStr"/>
      <c r="D11" s="24" t="inlineStr"/>
      <c r="E11" s="25" t="inlineStr"/>
      <c r="F11" s="31" t="inlineStr">
        <is>
          <t>Gasto</t>
        </is>
      </c>
      <c r="G11" s="27">
        <f>IF(E11="",G10,IF(F11="Ingreso",G10+E11,G10-E11))</f>
        <v/>
      </c>
      <c r="H11" s="1" t="n"/>
      <c r="I11" s="11">
        <f>'⚙️ Configuración'!B11</f>
        <v/>
      </c>
      <c r="J11" s="28">
        <f>'⚙️ Configuración'!C11</f>
        <v/>
      </c>
      <c r="K11" s="29">
        <f>SUMIF(D9:D48,I11,E9:E48)</f>
        <v/>
      </c>
      <c r="L11" s="30">
        <f>J11-K11</f>
        <v/>
      </c>
      <c r="M11" s="26">
        <f>IF(L11&gt;=0,"✅ OK","⚠️ Excedido")</f>
        <v/>
      </c>
      <c r="N11" s="1" t="n"/>
      <c r="O11" s="1" t="n"/>
      <c r="P11" s="1" t="n"/>
    </row>
    <row r="12" ht="16" customHeight="1">
      <c r="A12" s="1" t="n"/>
      <c r="B12" s="22" t="inlineStr"/>
      <c r="C12" s="23" t="inlineStr"/>
      <c r="D12" s="24" t="inlineStr"/>
      <c r="E12" s="25" t="inlineStr"/>
      <c r="F12" s="31" t="inlineStr">
        <is>
          <t>Gasto</t>
        </is>
      </c>
      <c r="G12" s="27">
        <f>IF(E12="",G11,IF(F12="Ingreso",G11+E12,G11-E12))</f>
        <v/>
      </c>
      <c r="H12" s="1" t="n"/>
      <c r="I12" s="11">
        <f>'⚙️ Configuración'!B12</f>
        <v/>
      </c>
      <c r="J12" s="28">
        <f>'⚙️ Configuración'!C12</f>
        <v/>
      </c>
      <c r="K12" s="29">
        <f>SUMIF(D9:D48,I12,E9:E48)</f>
        <v/>
      </c>
      <c r="L12" s="30">
        <f>J12-K12</f>
        <v/>
      </c>
      <c r="M12" s="26">
        <f>IF(L12&gt;=0,"✅ OK","⚠️ Excedido")</f>
        <v/>
      </c>
      <c r="N12" s="1" t="n"/>
      <c r="O12" s="1" t="n"/>
      <c r="P12" s="1" t="n"/>
    </row>
    <row r="13" ht="16" customHeight="1">
      <c r="A13" s="1" t="n"/>
      <c r="B13" s="22" t="inlineStr"/>
      <c r="C13" s="23" t="inlineStr"/>
      <c r="D13" s="24" t="inlineStr"/>
      <c r="E13" s="25" t="inlineStr"/>
      <c r="F13" s="31" t="inlineStr">
        <is>
          <t>Gasto</t>
        </is>
      </c>
      <c r="G13" s="27">
        <f>IF(E13="",G12,IF(F13="Ingreso",G12+E13,G12-E13))</f>
        <v/>
      </c>
      <c r="H13" s="1" t="n"/>
      <c r="I13" s="11">
        <f>'⚙️ Configuración'!B13</f>
        <v/>
      </c>
      <c r="J13" s="28">
        <f>'⚙️ Configuración'!C13</f>
        <v/>
      </c>
      <c r="K13" s="29">
        <f>SUMIF(D9:D48,I13,E9:E48)</f>
        <v/>
      </c>
      <c r="L13" s="30">
        <f>J13-K13</f>
        <v/>
      </c>
      <c r="M13" s="26">
        <f>IF(L13&gt;=0,"✅ OK","⚠️ Excedido")</f>
        <v/>
      </c>
      <c r="N13" s="1" t="n"/>
      <c r="O13" s="1" t="n"/>
      <c r="P13" s="1" t="n"/>
    </row>
    <row r="14" ht="16" customHeight="1">
      <c r="A14" s="1" t="n"/>
      <c r="B14" s="22" t="inlineStr"/>
      <c r="C14" s="23" t="inlineStr"/>
      <c r="D14" s="24" t="inlineStr"/>
      <c r="E14" s="25" t="inlineStr"/>
      <c r="F14" s="31" t="inlineStr">
        <is>
          <t>Gasto</t>
        </is>
      </c>
      <c r="G14" s="27">
        <f>IF(E14="",G13,IF(F14="Ingreso",G13+E14,G13-E14))</f>
        <v/>
      </c>
      <c r="H14" s="1" t="n"/>
      <c r="I14" s="11">
        <f>'⚙️ Configuración'!B14</f>
        <v/>
      </c>
      <c r="J14" s="28">
        <f>'⚙️ Configuración'!C14</f>
        <v/>
      </c>
      <c r="K14" s="29">
        <f>SUMIF(D9:D48,I14,E9:E48)</f>
        <v/>
      </c>
      <c r="L14" s="30">
        <f>J14-K14</f>
        <v/>
      </c>
      <c r="M14" s="26">
        <f>IF(L14&gt;=0,"✅ OK","⚠️ Excedido")</f>
        <v/>
      </c>
      <c r="N14" s="1" t="n"/>
      <c r="O14" s="1" t="n"/>
      <c r="P14" s="1" t="n"/>
    </row>
    <row r="15" ht="16" customHeight="1">
      <c r="A15" s="1" t="n"/>
      <c r="B15" s="22" t="inlineStr"/>
      <c r="C15" s="23" t="inlineStr"/>
      <c r="D15" s="24" t="inlineStr"/>
      <c r="E15" s="25" t="inlineStr"/>
      <c r="F15" s="31" t="inlineStr">
        <is>
          <t>Gasto</t>
        </is>
      </c>
      <c r="G15" s="27">
        <f>IF(E15="",G14,IF(F15="Ingreso",G14+E15,G14-E15))</f>
        <v/>
      </c>
      <c r="H15" s="1" t="n"/>
      <c r="I15" s="11">
        <f>'⚙️ Configuración'!B15</f>
        <v/>
      </c>
      <c r="J15" s="28">
        <f>'⚙️ Configuración'!C15</f>
        <v/>
      </c>
      <c r="K15" s="29">
        <f>SUMIF(D9:D48,I15,E9:E48)</f>
        <v/>
      </c>
      <c r="L15" s="30">
        <f>J15-K15</f>
        <v/>
      </c>
      <c r="M15" s="26">
        <f>IF(L15&gt;=0,"✅ OK","⚠️ Excedido")</f>
        <v/>
      </c>
      <c r="N15" s="1" t="n"/>
      <c r="O15" s="1" t="n"/>
      <c r="P15" s="1" t="n"/>
    </row>
    <row r="16" ht="16" customHeight="1">
      <c r="A16" s="1" t="n"/>
      <c r="B16" s="22" t="inlineStr"/>
      <c r="C16" s="23" t="inlineStr"/>
      <c r="D16" s="24" t="inlineStr"/>
      <c r="E16" s="25" t="inlineStr"/>
      <c r="F16" s="31" t="inlineStr">
        <is>
          <t>Gasto</t>
        </is>
      </c>
      <c r="G16" s="27">
        <f>IF(E16="",G15,IF(F16="Ingreso",G15+E16,G15-E16))</f>
        <v/>
      </c>
      <c r="H16" s="1" t="n"/>
      <c r="I16" s="11">
        <f>'⚙️ Configuración'!B16</f>
        <v/>
      </c>
      <c r="J16" s="28">
        <f>'⚙️ Configuración'!C16</f>
        <v/>
      </c>
      <c r="K16" s="29">
        <f>SUMIF(D9:D48,I16,E9:E48)</f>
        <v/>
      </c>
      <c r="L16" s="30">
        <f>J16-K16</f>
        <v/>
      </c>
      <c r="M16" s="26">
        <f>IF(L16&gt;=0,"✅ OK","⚠️ Excedido")</f>
        <v/>
      </c>
      <c r="N16" s="1" t="n"/>
      <c r="O16" s="1" t="n"/>
      <c r="P16" s="1" t="n"/>
    </row>
    <row r="17" ht="16" customHeight="1">
      <c r="A17" s="1" t="n"/>
      <c r="B17" s="22" t="inlineStr"/>
      <c r="C17" s="23" t="inlineStr"/>
      <c r="D17" s="24" t="inlineStr"/>
      <c r="E17" s="25" t="inlineStr"/>
      <c r="F17" s="31" t="inlineStr">
        <is>
          <t>Gasto</t>
        </is>
      </c>
      <c r="G17" s="27">
        <f>IF(E17="",G16,IF(F17="Ingreso",G16+E17,G16-E17))</f>
        <v/>
      </c>
      <c r="H17" s="1" t="n"/>
      <c r="I17" s="11">
        <f>'⚙️ Configuración'!B17</f>
        <v/>
      </c>
      <c r="J17" s="28">
        <f>'⚙️ Configuración'!C17</f>
        <v/>
      </c>
      <c r="K17" s="29">
        <f>SUMIF(D9:D48,I17,E9:E48)</f>
        <v/>
      </c>
      <c r="L17" s="30">
        <f>J17-K17</f>
        <v/>
      </c>
      <c r="M17" s="26">
        <f>IF(L17&gt;=0,"✅ OK","⚠️ Excedido")</f>
        <v/>
      </c>
      <c r="N17" s="1" t="n"/>
      <c r="O17" s="1" t="n"/>
      <c r="P17" s="1" t="n"/>
    </row>
    <row r="18" ht="16" customHeight="1">
      <c r="A18" s="1" t="n"/>
      <c r="B18" s="22" t="inlineStr"/>
      <c r="C18" s="23" t="inlineStr"/>
      <c r="D18" s="24" t="inlineStr"/>
      <c r="E18" s="25" t="inlineStr"/>
      <c r="F18" s="31" t="inlineStr">
        <is>
          <t>Gasto</t>
        </is>
      </c>
      <c r="G18" s="27">
        <f>IF(E18="",G17,IF(F18="Ingreso",G17+E18,G17-E18))</f>
        <v/>
      </c>
      <c r="H18" s="1" t="n"/>
      <c r="I18" s="11">
        <f>'⚙️ Configuración'!B18</f>
        <v/>
      </c>
      <c r="J18" s="28">
        <f>'⚙️ Configuración'!C18</f>
        <v/>
      </c>
      <c r="K18" s="29">
        <f>SUMIF(D9:D48,I18,E9:E48)</f>
        <v/>
      </c>
      <c r="L18" s="30">
        <f>J18-K18</f>
        <v/>
      </c>
      <c r="M18" s="26">
        <f>IF(L18&gt;=0,"✅ OK","⚠️ Excedido")</f>
        <v/>
      </c>
      <c r="N18" s="1" t="n"/>
      <c r="O18" s="1" t="n"/>
      <c r="P18" s="1" t="n"/>
    </row>
    <row r="19" ht="16" customHeight="1">
      <c r="A19" s="1" t="n"/>
      <c r="B19" s="22" t="inlineStr"/>
      <c r="C19" s="23" t="inlineStr"/>
      <c r="D19" s="24" t="inlineStr"/>
      <c r="E19" s="25" t="inlineStr"/>
      <c r="F19" s="31" t="inlineStr">
        <is>
          <t>Gasto</t>
        </is>
      </c>
      <c r="G19" s="27">
        <f>IF(E19="",G18,IF(F19="Ingreso",G18+E19,G18-E19))</f>
        <v/>
      </c>
      <c r="H19" s="1" t="n"/>
      <c r="I19" s="11">
        <f>'⚙️ Configuración'!B19</f>
        <v/>
      </c>
      <c r="J19" s="28">
        <f>'⚙️ Configuración'!C19</f>
        <v/>
      </c>
      <c r="K19" s="29">
        <f>SUMIF(D9:D48,I19,E9:E48)</f>
        <v/>
      </c>
      <c r="L19" s="30">
        <f>J19-K19</f>
        <v/>
      </c>
      <c r="M19" s="26">
        <f>IF(L19&gt;=0,"✅ OK","⚠️ Excedido")</f>
        <v/>
      </c>
      <c r="N19" s="1" t="n"/>
      <c r="O19" s="1" t="n"/>
      <c r="P19" s="1" t="n"/>
    </row>
    <row r="20" ht="16" customHeight="1">
      <c r="A20" s="1" t="n"/>
      <c r="B20" s="22" t="inlineStr"/>
      <c r="C20" s="23" t="inlineStr"/>
      <c r="D20" s="24" t="inlineStr"/>
      <c r="E20" s="25" t="inlineStr"/>
      <c r="F20" s="31" t="inlineStr">
        <is>
          <t>Gasto</t>
        </is>
      </c>
      <c r="G20" s="27">
        <f>IF(E20="",G19,IF(F20="Ingreso",G19+E20,G19-E20))</f>
        <v/>
      </c>
      <c r="H20" s="1" t="n"/>
      <c r="I20" s="11">
        <f>'⚙️ Configuración'!B20</f>
        <v/>
      </c>
      <c r="J20" s="28">
        <f>'⚙️ Configuración'!C20</f>
        <v/>
      </c>
      <c r="K20" s="29">
        <f>SUMIF(D9:D48,I20,E9:E48)</f>
        <v/>
      </c>
      <c r="L20" s="30">
        <f>J20-K20</f>
        <v/>
      </c>
      <c r="M20" s="26">
        <f>IF(L20&gt;=0,"✅ OK","⚠️ Excedido")</f>
        <v/>
      </c>
      <c r="N20" s="1" t="n"/>
      <c r="O20" s="1" t="n"/>
      <c r="P20" s="1" t="n"/>
    </row>
    <row r="21" ht="16" customHeight="1">
      <c r="A21" s="1" t="n"/>
      <c r="B21" s="22" t="inlineStr"/>
      <c r="C21" s="23" t="inlineStr"/>
      <c r="D21" s="24" t="inlineStr"/>
      <c r="E21" s="25" t="inlineStr"/>
      <c r="F21" s="31" t="inlineStr">
        <is>
          <t>Gasto</t>
        </is>
      </c>
      <c r="G21" s="27">
        <f>IF(E21="",G20,IF(F21="Ingreso",G20+E21,G20-E21))</f>
        <v/>
      </c>
      <c r="H21" s="1" t="n"/>
      <c r="I21" s="11">
        <f>'⚙️ Configuración'!B21</f>
        <v/>
      </c>
      <c r="J21" s="28">
        <f>'⚙️ Configuración'!C21</f>
        <v/>
      </c>
      <c r="K21" s="29">
        <f>SUMIF(D9:D48,I21,E9:E48)</f>
        <v/>
      </c>
      <c r="L21" s="30">
        <f>J21-K21</f>
        <v/>
      </c>
      <c r="M21" s="26">
        <f>IF(L21&gt;=0,"✅ OK","⚠️ Excedido")</f>
        <v/>
      </c>
      <c r="N21" s="1" t="n"/>
      <c r="O21" s="1" t="n"/>
      <c r="P21" s="1" t="n"/>
    </row>
    <row r="22" ht="16" customHeight="1">
      <c r="A22" s="1" t="n"/>
      <c r="B22" s="22" t="inlineStr"/>
      <c r="C22" s="23" t="inlineStr"/>
      <c r="D22" s="24" t="inlineStr"/>
      <c r="E22" s="25" t="inlineStr"/>
      <c r="F22" s="31" t="inlineStr">
        <is>
          <t>Gasto</t>
        </is>
      </c>
      <c r="G22" s="27">
        <f>IF(E22="",G21,IF(F22="Ingreso",G21+E22,G21-E22))</f>
        <v/>
      </c>
      <c r="H22" s="1" t="n"/>
      <c r="I22" s="11">
        <f>'⚙️ Configuración'!B22</f>
        <v/>
      </c>
      <c r="J22" s="28">
        <f>'⚙️ Configuración'!C22</f>
        <v/>
      </c>
      <c r="K22" s="29">
        <f>SUMIF(D9:D48,I22,E9:E48)</f>
        <v/>
      </c>
      <c r="L22" s="30">
        <f>J22-K22</f>
        <v/>
      </c>
      <c r="M22" s="26">
        <f>IF(L22&gt;=0,"✅ OK","⚠️ Excedido")</f>
        <v/>
      </c>
      <c r="N22" s="1" t="n"/>
      <c r="O22" s="1" t="n"/>
      <c r="P22" s="1" t="n"/>
    </row>
    <row r="23" ht="16" customHeight="1">
      <c r="A23" s="1" t="n"/>
      <c r="B23" s="22" t="inlineStr"/>
      <c r="C23" s="23" t="inlineStr"/>
      <c r="D23" s="24" t="inlineStr"/>
      <c r="E23" s="25" t="inlineStr"/>
      <c r="F23" s="31" t="inlineStr">
        <is>
          <t>Gasto</t>
        </is>
      </c>
      <c r="G23" s="27">
        <f>IF(E23="",G22,IF(F23="Ingreso",G22+E23,G22-E23))</f>
        <v/>
      </c>
      <c r="H23" s="1" t="n"/>
      <c r="I23" s="11">
        <f>'⚙️ Configuración'!B23</f>
        <v/>
      </c>
      <c r="J23" s="28">
        <f>'⚙️ Configuración'!C23</f>
        <v/>
      </c>
      <c r="K23" s="29">
        <f>SUMIF(D9:D48,I23,E9:E48)</f>
        <v/>
      </c>
      <c r="L23" s="30">
        <f>J23-K23</f>
        <v/>
      </c>
      <c r="M23" s="26">
        <f>IF(L23&gt;=0,"✅ OK","⚠️ Excedido")</f>
        <v/>
      </c>
      <c r="N23" s="1" t="n"/>
      <c r="O23" s="1" t="n"/>
      <c r="P23" s="1" t="n"/>
    </row>
    <row r="24" ht="16" customHeight="1">
      <c r="A24" s="1" t="n"/>
      <c r="B24" s="22" t="inlineStr"/>
      <c r="C24" s="23" t="inlineStr"/>
      <c r="D24" s="24" t="inlineStr"/>
      <c r="E24" s="25" t="inlineStr"/>
      <c r="F24" s="31" t="inlineStr">
        <is>
          <t>Gasto</t>
        </is>
      </c>
      <c r="G24" s="27">
        <f>IF(E24="",G23,IF(F24="Ingreso",G23+E24,G23-E24))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6" customHeight="1">
      <c r="A25" s="1" t="n"/>
      <c r="B25" s="22" t="inlineStr"/>
      <c r="C25" s="23" t="inlineStr"/>
      <c r="D25" s="24" t="inlineStr"/>
      <c r="E25" s="25" t="inlineStr"/>
      <c r="F25" s="31" t="inlineStr">
        <is>
          <t>Gasto</t>
        </is>
      </c>
      <c r="G25" s="27">
        <f>IF(E25="",G24,IF(F25="Ingreso",G24+E25,G24-E25))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6" customHeight="1">
      <c r="A26" s="1" t="n"/>
      <c r="B26" s="22" t="inlineStr"/>
      <c r="C26" s="23" t="inlineStr"/>
      <c r="D26" s="24" t="inlineStr"/>
      <c r="E26" s="25" t="inlineStr"/>
      <c r="F26" s="31" t="inlineStr">
        <is>
          <t>Gasto</t>
        </is>
      </c>
      <c r="G26" s="27">
        <f>IF(E26="",G25,IF(F26="Ingreso",G25+E26,G25-E26))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6" customHeight="1">
      <c r="A27" s="1" t="n"/>
      <c r="B27" s="22" t="inlineStr"/>
      <c r="C27" s="23" t="inlineStr"/>
      <c r="D27" s="24" t="inlineStr"/>
      <c r="E27" s="25" t="inlineStr"/>
      <c r="F27" s="31" t="inlineStr">
        <is>
          <t>Gasto</t>
        </is>
      </c>
      <c r="G27" s="27">
        <f>IF(E27="",G26,IF(F27="Ingreso",G26+E27,G26-E27))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6" customHeight="1">
      <c r="A28" s="1" t="n"/>
      <c r="B28" s="22" t="inlineStr"/>
      <c r="C28" s="23" t="inlineStr"/>
      <c r="D28" s="24" t="inlineStr"/>
      <c r="E28" s="25" t="inlineStr"/>
      <c r="F28" s="31" t="inlineStr">
        <is>
          <t>Gasto</t>
        </is>
      </c>
      <c r="G28" s="27">
        <f>IF(E28="",G27,IF(F28="Ingreso",G27+E28,G27-E28))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6" customHeight="1">
      <c r="A29" s="1" t="n"/>
      <c r="B29" s="22" t="inlineStr"/>
      <c r="C29" s="23" t="inlineStr"/>
      <c r="D29" s="24" t="inlineStr"/>
      <c r="E29" s="25" t="inlineStr"/>
      <c r="F29" s="31" t="inlineStr">
        <is>
          <t>Gasto</t>
        </is>
      </c>
      <c r="G29" s="27">
        <f>IF(E29="",G28,IF(F29="Ingreso",G28+E29,G28-E29))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6" customHeight="1">
      <c r="A30" s="1" t="n"/>
      <c r="B30" s="22" t="inlineStr"/>
      <c r="C30" s="23" t="inlineStr"/>
      <c r="D30" s="24" t="inlineStr"/>
      <c r="E30" s="25" t="inlineStr"/>
      <c r="F30" s="31" t="inlineStr">
        <is>
          <t>Gasto</t>
        </is>
      </c>
      <c r="G30" s="27">
        <f>IF(E30="",G29,IF(F30="Ingreso",G29+E30,G29-E30))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6" customHeight="1">
      <c r="A31" s="1" t="n"/>
      <c r="B31" s="22" t="inlineStr"/>
      <c r="C31" s="23" t="inlineStr"/>
      <c r="D31" s="24" t="inlineStr"/>
      <c r="E31" s="25" t="inlineStr"/>
      <c r="F31" s="31" t="inlineStr">
        <is>
          <t>Gasto</t>
        </is>
      </c>
      <c r="G31" s="27">
        <f>IF(E31="",G30,IF(F31="Ingreso",G30+E31,G30-E31))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6" customHeight="1">
      <c r="A32" s="1" t="n"/>
      <c r="B32" s="22" t="inlineStr"/>
      <c r="C32" s="23" t="inlineStr"/>
      <c r="D32" s="24" t="inlineStr"/>
      <c r="E32" s="25" t="inlineStr"/>
      <c r="F32" s="31" t="inlineStr">
        <is>
          <t>Gasto</t>
        </is>
      </c>
      <c r="G32" s="27">
        <f>IF(E32="",G31,IF(F32="Ingreso",G31+E32,G31-E32))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6" customHeight="1">
      <c r="A33" s="1" t="n"/>
      <c r="B33" s="22" t="inlineStr"/>
      <c r="C33" s="23" t="inlineStr"/>
      <c r="D33" s="24" t="inlineStr"/>
      <c r="E33" s="25" t="inlineStr"/>
      <c r="F33" s="31" t="inlineStr">
        <is>
          <t>Gasto</t>
        </is>
      </c>
      <c r="G33" s="27">
        <f>IF(E33="",G32,IF(F33="Ingreso",G32+E33,G32-E33))</f>
        <v/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6" customHeight="1">
      <c r="A34" s="1" t="n"/>
      <c r="B34" s="22" t="inlineStr"/>
      <c r="C34" s="23" t="inlineStr"/>
      <c r="D34" s="24" t="inlineStr"/>
      <c r="E34" s="25" t="inlineStr"/>
      <c r="F34" s="31" t="inlineStr">
        <is>
          <t>Gasto</t>
        </is>
      </c>
      <c r="G34" s="27">
        <f>IF(E34="",G33,IF(F34="Ingreso",G33+E34,G33-E34))</f>
        <v/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6" customHeight="1">
      <c r="A35" s="1" t="n"/>
      <c r="B35" s="22" t="inlineStr"/>
      <c r="C35" s="23" t="inlineStr"/>
      <c r="D35" s="24" t="inlineStr"/>
      <c r="E35" s="25" t="inlineStr"/>
      <c r="F35" s="31" t="inlineStr">
        <is>
          <t>Gasto</t>
        </is>
      </c>
      <c r="G35" s="27">
        <f>IF(E35="",G34,IF(F35="Ingreso",G34+E35,G34-E35))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6" customHeight="1">
      <c r="A36" s="1" t="n"/>
      <c r="B36" s="22" t="inlineStr"/>
      <c r="C36" s="23" t="inlineStr"/>
      <c r="D36" s="24" t="inlineStr"/>
      <c r="E36" s="25" t="inlineStr"/>
      <c r="F36" s="31" t="inlineStr">
        <is>
          <t>Gasto</t>
        </is>
      </c>
      <c r="G36" s="27">
        <f>IF(E36="",G35,IF(F36="Ingreso",G35+E36,G35-E36))</f>
        <v/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6" customHeight="1">
      <c r="A37" s="1" t="n"/>
      <c r="B37" s="22" t="inlineStr"/>
      <c r="C37" s="23" t="inlineStr"/>
      <c r="D37" s="24" t="inlineStr"/>
      <c r="E37" s="25" t="inlineStr"/>
      <c r="F37" s="31" t="inlineStr">
        <is>
          <t>Gasto</t>
        </is>
      </c>
      <c r="G37" s="27">
        <f>IF(E37="",G36,IF(F37="Ingreso",G36+E37,G36-E37))</f>
        <v/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6" customHeight="1">
      <c r="A38" s="1" t="n"/>
      <c r="B38" s="22" t="inlineStr"/>
      <c r="C38" s="23" t="inlineStr"/>
      <c r="D38" s="24" t="inlineStr"/>
      <c r="E38" s="25" t="inlineStr"/>
      <c r="F38" s="31" t="inlineStr">
        <is>
          <t>Gasto</t>
        </is>
      </c>
      <c r="G38" s="27">
        <f>IF(E38="",G37,IF(F38="Ingreso",G37+E38,G37-E38))</f>
        <v/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6" customHeight="1">
      <c r="A39" s="1" t="n"/>
      <c r="B39" s="22" t="inlineStr"/>
      <c r="C39" s="23" t="inlineStr"/>
      <c r="D39" s="24" t="inlineStr"/>
      <c r="E39" s="25" t="inlineStr"/>
      <c r="F39" s="31" t="inlineStr">
        <is>
          <t>Gasto</t>
        </is>
      </c>
      <c r="G39" s="27">
        <f>IF(E39="",G38,IF(F39="Ingreso",G38+E39,G38-E39))</f>
        <v/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6" customHeight="1">
      <c r="A40" s="1" t="n"/>
      <c r="B40" s="22" t="inlineStr"/>
      <c r="C40" s="23" t="inlineStr"/>
      <c r="D40" s="24" t="inlineStr"/>
      <c r="E40" s="25" t="inlineStr"/>
      <c r="F40" s="31" t="inlineStr">
        <is>
          <t>Gasto</t>
        </is>
      </c>
      <c r="G40" s="27">
        <f>IF(E40="",G39,IF(F40="Ingreso",G39+E40,G39-E40))</f>
        <v/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16" customHeight="1">
      <c r="A41" s="1" t="n"/>
      <c r="B41" s="22" t="inlineStr"/>
      <c r="C41" s="23" t="inlineStr"/>
      <c r="D41" s="24" t="inlineStr"/>
      <c r="E41" s="25" t="inlineStr"/>
      <c r="F41" s="31" t="inlineStr">
        <is>
          <t>Gasto</t>
        </is>
      </c>
      <c r="G41" s="27">
        <f>IF(E41="",G40,IF(F41="Ingreso",G40+E41,G40-E41))</f>
        <v/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6" customHeight="1">
      <c r="A42" s="1" t="n"/>
      <c r="B42" s="22" t="inlineStr"/>
      <c r="C42" s="23" t="inlineStr"/>
      <c r="D42" s="24" t="inlineStr"/>
      <c r="E42" s="25" t="inlineStr"/>
      <c r="F42" s="31" t="inlineStr">
        <is>
          <t>Gasto</t>
        </is>
      </c>
      <c r="G42" s="27">
        <f>IF(E42="",G41,IF(F42="Ingreso",G41+E42,G41-E42))</f>
        <v/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16" customHeight="1">
      <c r="A43" s="1" t="n"/>
      <c r="B43" s="22" t="inlineStr"/>
      <c r="C43" s="23" t="inlineStr"/>
      <c r="D43" s="24" t="inlineStr"/>
      <c r="E43" s="25" t="inlineStr"/>
      <c r="F43" s="31" t="inlineStr">
        <is>
          <t>Gasto</t>
        </is>
      </c>
      <c r="G43" s="27">
        <f>IF(E43="",G42,IF(F43="Ingreso",G42+E43,G42-E43))</f>
        <v/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6" customHeight="1">
      <c r="A44" s="1" t="n"/>
      <c r="B44" s="22" t="inlineStr"/>
      <c r="C44" s="23" t="inlineStr"/>
      <c r="D44" s="24" t="inlineStr"/>
      <c r="E44" s="25" t="inlineStr"/>
      <c r="F44" s="31" t="inlineStr">
        <is>
          <t>Gasto</t>
        </is>
      </c>
      <c r="G44" s="27">
        <f>IF(E44="",G43,IF(F44="Ingreso",G43+E44,G43-E44))</f>
        <v/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6" customHeight="1">
      <c r="A45" s="1" t="n"/>
      <c r="B45" s="22" t="inlineStr"/>
      <c r="C45" s="23" t="inlineStr"/>
      <c r="D45" s="24" t="inlineStr"/>
      <c r="E45" s="25" t="inlineStr"/>
      <c r="F45" s="31" t="inlineStr">
        <is>
          <t>Gasto</t>
        </is>
      </c>
      <c r="G45" s="27">
        <f>IF(E45="",G44,IF(F45="Ingreso",G44+E45,G44-E45))</f>
        <v/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6" customHeight="1">
      <c r="A46" s="1" t="n"/>
      <c r="B46" s="22" t="inlineStr"/>
      <c r="C46" s="23" t="inlineStr"/>
      <c r="D46" s="24" t="inlineStr"/>
      <c r="E46" s="25" t="inlineStr"/>
      <c r="F46" s="31" t="inlineStr">
        <is>
          <t>Gasto</t>
        </is>
      </c>
      <c r="G46" s="27">
        <f>IF(E46="",G45,IF(F46="Ingreso",G45+E46,G45-E46))</f>
        <v/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6" customHeight="1">
      <c r="A47" s="1" t="n"/>
      <c r="B47" s="22" t="inlineStr"/>
      <c r="C47" s="23" t="inlineStr"/>
      <c r="D47" s="24" t="inlineStr"/>
      <c r="E47" s="25" t="inlineStr"/>
      <c r="F47" s="31" t="inlineStr">
        <is>
          <t>Gasto</t>
        </is>
      </c>
      <c r="G47" s="27">
        <f>IF(E47="",G46,IF(F47="Ingreso",G46+E47,G46-E47))</f>
        <v/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6" customHeight="1">
      <c r="A48" s="1" t="n"/>
      <c r="B48" s="22" t="inlineStr"/>
      <c r="C48" s="23" t="inlineStr"/>
      <c r="D48" s="24" t="inlineStr"/>
      <c r="E48" s="25" t="inlineStr"/>
      <c r="F48" s="31" t="inlineStr">
        <is>
          <t>Gasto</t>
        </is>
      </c>
      <c r="G48" s="27">
        <f>IF(E48="",G47,IF(F48="Ingreso",G47+E48,G47-E48))</f>
        <v/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 ht="16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 ht="1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 ht="16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 ht="16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 ht="16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 ht="1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 ht="1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 ht="1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 ht="1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 ht="1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 ht="1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 ht="1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 ht="1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 ht="1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 ht="1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 ht="1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 ht="1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</sheetData>
  <mergeCells count="3">
    <mergeCell ref="I7:M7"/>
    <mergeCell ref="B2:G2"/>
    <mergeCell ref="B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18" customWidth="1" min="4" max="4"/>
    <col width="14" customWidth="1" min="5" max="5"/>
    <col width="12" customWidth="1" min="6" max="6"/>
    <col width="14" customWidth="1" min="7" max="7"/>
    <col width="2" customWidth="1" min="8" max="8"/>
    <col width="26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34" t="inlineStr">
        <is>
          <t>MARZO  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6" customHeight="1">
      <c r="A4" s="1" t="n"/>
      <c r="B4" s="15" t="inlineStr">
        <is>
          <t>💰 INGRESOS</t>
        </is>
      </c>
      <c r="C4" s="15" t="inlineStr">
        <is>
          <t>💸 GASTOS</t>
        </is>
      </c>
      <c r="D4" s="15" t="inlineStr">
        <is>
          <t>💾 AHORRO</t>
        </is>
      </c>
      <c r="E4" s="15" t="inlineStr">
        <is>
          <t>% AHORRO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24" customHeight="1">
      <c r="A5" s="1" t="n"/>
      <c r="B5" s="16">
        <f>SUMIF(F8:F200,"Ingreso",E8:E200)</f>
        <v/>
      </c>
      <c r="C5" s="17">
        <f>SUMIF(F8:F200,"Gasto",E8:E200)</f>
        <v/>
      </c>
      <c r="D5" s="18">
        <f>SUMIF(F8:F200,"Ingreso",E8:E200)-SUMIF(F8:F200,"Gasto",E8:E200)</f>
        <v/>
      </c>
      <c r="E5" s="19">
        <f>IFERROR((SUMIF(F8:F200,"Ingreso",E8:E200)-SUMIF(F8:F200,"Gasto",E8:E200))/SUMIF(F8:F200,"Ingreso",E8:E200),0)</f>
        <v/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6" customHeight="1">
      <c r="A7" s="1" t="n"/>
      <c r="B7" s="35" t="inlineStr">
        <is>
          <t>📝  REGISTRO DE TRANSACCIONES</t>
        </is>
      </c>
      <c r="H7" s="1" t="n"/>
      <c r="I7" s="35" t="inlineStr">
        <is>
          <t>📊  PRESUPUESTO vs REAL</t>
        </is>
      </c>
      <c r="N7" s="1" t="n"/>
      <c r="O7" s="1" t="n"/>
      <c r="P7" s="1" t="n"/>
    </row>
    <row r="8" ht="16" customHeight="1">
      <c r="A8" s="1" t="n"/>
      <c r="B8" s="21" t="inlineStr">
        <is>
          <t>FECHA</t>
        </is>
      </c>
      <c r="C8" s="21" t="inlineStr">
        <is>
          <t>DESCRIPCIÓN</t>
        </is>
      </c>
      <c r="D8" s="21" t="inlineStr">
        <is>
          <t>CATEGORÍA</t>
        </is>
      </c>
      <c r="E8" s="21" t="inlineStr">
        <is>
          <t>MONTO</t>
        </is>
      </c>
      <c r="F8" s="21" t="inlineStr">
        <is>
          <t>TIPO</t>
        </is>
      </c>
      <c r="G8" s="21" t="inlineStr">
        <is>
          <t>ACUMULADO</t>
        </is>
      </c>
      <c r="H8" s="1" t="n"/>
      <c r="I8" s="21" t="inlineStr">
        <is>
          <t>CATEGORÍA</t>
        </is>
      </c>
      <c r="J8" s="21" t="inlineStr">
        <is>
          <t>PRESUPUESTO</t>
        </is>
      </c>
      <c r="K8" s="21" t="inlineStr">
        <is>
          <t>REAL</t>
        </is>
      </c>
      <c r="L8" s="21" t="inlineStr">
        <is>
          <t>DIFERENCIA</t>
        </is>
      </c>
      <c r="M8" s="21" t="inlineStr">
        <is>
          <t>ESTADO</t>
        </is>
      </c>
      <c r="N8" s="1" t="n"/>
      <c r="O8" s="1" t="n"/>
      <c r="P8" s="1" t="n"/>
    </row>
    <row r="9" ht="16" customHeight="1">
      <c r="A9" s="1" t="n"/>
      <c r="B9" s="22" t="inlineStr"/>
      <c r="C9" s="23" t="inlineStr"/>
      <c r="D9" s="24" t="inlineStr"/>
      <c r="E9" s="25" t="inlineStr"/>
      <c r="F9" s="26" t="inlineStr">
        <is>
          <t>Ingreso</t>
        </is>
      </c>
      <c r="G9" s="27">
        <f>IF(F9="Ingreso",E9,-E9)</f>
        <v/>
      </c>
      <c r="H9" s="1" t="n"/>
      <c r="I9" s="11">
        <f>'⚙️ Configuración'!B9</f>
        <v/>
      </c>
      <c r="J9" s="28">
        <f>'⚙️ Configuración'!C9</f>
        <v/>
      </c>
      <c r="K9" s="29">
        <f>SUMIF(D9:D48,I9,E9:E48)</f>
        <v/>
      </c>
      <c r="L9" s="30">
        <f>J9-K9</f>
        <v/>
      </c>
      <c r="M9" s="26">
        <f>IF(L9&gt;=0,"✅ OK","⚠️ Excedido")</f>
        <v/>
      </c>
      <c r="N9" s="1" t="n"/>
      <c r="O9" s="1" t="n"/>
      <c r="P9" s="1" t="n"/>
    </row>
    <row r="10" ht="16" customHeight="1">
      <c r="A10" s="1" t="n"/>
      <c r="B10" s="22" t="inlineStr"/>
      <c r="C10" s="23" t="inlineStr"/>
      <c r="D10" s="24" t="inlineStr"/>
      <c r="E10" s="25" t="inlineStr"/>
      <c r="F10" s="31" t="inlineStr">
        <is>
          <t>Gasto</t>
        </is>
      </c>
      <c r="G10" s="27">
        <f>IF(E10="",G9,IF(F10="Ingreso",G9+E10,G9-E10))</f>
        <v/>
      </c>
      <c r="H10" s="1" t="n"/>
      <c r="I10" s="11">
        <f>'⚙️ Configuración'!B10</f>
        <v/>
      </c>
      <c r="J10" s="28">
        <f>'⚙️ Configuración'!C10</f>
        <v/>
      </c>
      <c r="K10" s="29">
        <f>SUMIF(D9:D48,I10,E9:E48)</f>
        <v/>
      </c>
      <c r="L10" s="30">
        <f>J10-K10</f>
        <v/>
      </c>
      <c r="M10" s="26">
        <f>IF(L10&gt;=0,"✅ OK","⚠️ Excedido")</f>
        <v/>
      </c>
      <c r="N10" s="1" t="n"/>
      <c r="O10" s="1" t="n"/>
      <c r="P10" s="1" t="n"/>
    </row>
    <row r="11" ht="16" customHeight="1">
      <c r="A11" s="1" t="n"/>
      <c r="B11" s="22" t="inlineStr"/>
      <c r="C11" s="23" t="inlineStr"/>
      <c r="D11" s="24" t="inlineStr"/>
      <c r="E11" s="25" t="inlineStr"/>
      <c r="F11" s="31" t="inlineStr">
        <is>
          <t>Gasto</t>
        </is>
      </c>
      <c r="G11" s="27">
        <f>IF(E11="",G10,IF(F11="Ingreso",G10+E11,G10-E11))</f>
        <v/>
      </c>
      <c r="H11" s="1" t="n"/>
      <c r="I11" s="11">
        <f>'⚙️ Configuración'!B11</f>
        <v/>
      </c>
      <c r="J11" s="28">
        <f>'⚙️ Configuración'!C11</f>
        <v/>
      </c>
      <c r="K11" s="29">
        <f>SUMIF(D9:D48,I11,E9:E48)</f>
        <v/>
      </c>
      <c r="L11" s="30">
        <f>J11-K11</f>
        <v/>
      </c>
      <c r="M11" s="26">
        <f>IF(L11&gt;=0,"✅ OK","⚠️ Excedido")</f>
        <v/>
      </c>
      <c r="N11" s="1" t="n"/>
      <c r="O11" s="1" t="n"/>
      <c r="P11" s="1" t="n"/>
    </row>
    <row r="12" ht="16" customHeight="1">
      <c r="A12" s="1" t="n"/>
      <c r="B12" s="22" t="inlineStr"/>
      <c r="C12" s="23" t="inlineStr"/>
      <c r="D12" s="24" t="inlineStr"/>
      <c r="E12" s="25" t="inlineStr"/>
      <c r="F12" s="31" t="inlineStr">
        <is>
          <t>Gasto</t>
        </is>
      </c>
      <c r="G12" s="27">
        <f>IF(E12="",G11,IF(F12="Ingreso",G11+E12,G11-E12))</f>
        <v/>
      </c>
      <c r="H12" s="1" t="n"/>
      <c r="I12" s="11">
        <f>'⚙️ Configuración'!B12</f>
        <v/>
      </c>
      <c r="J12" s="28">
        <f>'⚙️ Configuración'!C12</f>
        <v/>
      </c>
      <c r="K12" s="29">
        <f>SUMIF(D9:D48,I12,E9:E48)</f>
        <v/>
      </c>
      <c r="L12" s="30">
        <f>J12-K12</f>
        <v/>
      </c>
      <c r="M12" s="26">
        <f>IF(L12&gt;=0,"✅ OK","⚠️ Excedido")</f>
        <v/>
      </c>
      <c r="N12" s="1" t="n"/>
      <c r="O12" s="1" t="n"/>
      <c r="P12" s="1" t="n"/>
    </row>
    <row r="13" ht="16" customHeight="1">
      <c r="A13" s="1" t="n"/>
      <c r="B13" s="22" t="inlineStr"/>
      <c r="C13" s="23" t="inlineStr"/>
      <c r="D13" s="24" t="inlineStr"/>
      <c r="E13" s="25" t="inlineStr"/>
      <c r="F13" s="31" t="inlineStr">
        <is>
          <t>Gasto</t>
        </is>
      </c>
      <c r="G13" s="27">
        <f>IF(E13="",G12,IF(F13="Ingreso",G12+E13,G12-E13))</f>
        <v/>
      </c>
      <c r="H13" s="1" t="n"/>
      <c r="I13" s="11">
        <f>'⚙️ Configuración'!B13</f>
        <v/>
      </c>
      <c r="J13" s="28">
        <f>'⚙️ Configuración'!C13</f>
        <v/>
      </c>
      <c r="K13" s="29">
        <f>SUMIF(D9:D48,I13,E9:E48)</f>
        <v/>
      </c>
      <c r="L13" s="30">
        <f>J13-K13</f>
        <v/>
      </c>
      <c r="M13" s="26">
        <f>IF(L13&gt;=0,"✅ OK","⚠️ Excedido")</f>
        <v/>
      </c>
      <c r="N13" s="1" t="n"/>
      <c r="O13" s="1" t="n"/>
      <c r="P13" s="1" t="n"/>
    </row>
    <row r="14" ht="16" customHeight="1">
      <c r="A14" s="1" t="n"/>
      <c r="B14" s="22" t="inlineStr"/>
      <c r="C14" s="23" t="inlineStr"/>
      <c r="D14" s="24" t="inlineStr"/>
      <c r="E14" s="25" t="inlineStr"/>
      <c r="F14" s="31" t="inlineStr">
        <is>
          <t>Gasto</t>
        </is>
      </c>
      <c r="G14" s="27">
        <f>IF(E14="",G13,IF(F14="Ingreso",G13+E14,G13-E14))</f>
        <v/>
      </c>
      <c r="H14" s="1" t="n"/>
      <c r="I14" s="11">
        <f>'⚙️ Configuración'!B14</f>
        <v/>
      </c>
      <c r="J14" s="28">
        <f>'⚙️ Configuración'!C14</f>
        <v/>
      </c>
      <c r="K14" s="29">
        <f>SUMIF(D9:D48,I14,E9:E48)</f>
        <v/>
      </c>
      <c r="L14" s="30">
        <f>J14-K14</f>
        <v/>
      </c>
      <c r="M14" s="26">
        <f>IF(L14&gt;=0,"✅ OK","⚠️ Excedido")</f>
        <v/>
      </c>
      <c r="N14" s="1" t="n"/>
      <c r="O14" s="1" t="n"/>
      <c r="P14" s="1" t="n"/>
    </row>
    <row r="15" ht="16" customHeight="1">
      <c r="A15" s="1" t="n"/>
      <c r="B15" s="22" t="inlineStr"/>
      <c r="C15" s="23" t="inlineStr"/>
      <c r="D15" s="24" t="inlineStr"/>
      <c r="E15" s="25" t="inlineStr"/>
      <c r="F15" s="31" t="inlineStr">
        <is>
          <t>Gasto</t>
        </is>
      </c>
      <c r="G15" s="27">
        <f>IF(E15="",G14,IF(F15="Ingreso",G14+E15,G14-E15))</f>
        <v/>
      </c>
      <c r="H15" s="1" t="n"/>
      <c r="I15" s="11">
        <f>'⚙️ Configuración'!B15</f>
        <v/>
      </c>
      <c r="J15" s="28">
        <f>'⚙️ Configuración'!C15</f>
        <v/>
      </c>
      <c r="K15" s="29">
        <f>SUMIF(D9:D48,I15,E9:E48)</f>
        <v/>
      </c>
      <c r="L15" s="30">
        <f>J15-K15</f>
        <v/>
      </c>
      <c r="M15" s="26">
        <f>IF(L15&gt;=0,"✅ OK","⚠️ Excedido")</f>
        <v/>
      </c>
      <c r="N15" s="1" t="n"/>
      <c r="O15" s="1" t="n"/>
      <c r="P15" s="1" t="n"/>
    </row>
    <row r="16" ht="16" customHeight="1">
      <c r="A16" s="1" t="n"/>
      <c r="B16" s="22" t="inlineStr"/>
      <c r="C16" s="23" t="inlineStr"/>
      <c r="D16" s="24" t="inlineStr"/>
      <c r="E16" s="25" t="inlineStr"/>
      <c r="F16" s="31" t="inlineStr">
        <is>
          <t>Gasto</t>
        </is>
      </c>
      <c r="G16" s="27">
        <f>IF(E16="",G15,IF(F16="Ingreso",G15+E16,G15-E16))</f>
        <v/>
      </c>
      <c r="H16" s="1" t="n"/>
      <c r="I16" s="11">
        <f>'⚙️ Configuración'!B16</f>
        <v/>
      </c>
      <c r="J16" s="28">
        <f>'⚙️ Configuración'!C16</f>
        <v/>
      </c>
      <c r="K16" s="29">
        <f>SUMIF(D9:D48,I16,E9:E48)</f>
        <v/>
      </c>
      <c r="L16" s="30">
        <f>J16-K16</f>
        <v/>
      </c>
      <c r="M16" s="26">
        <f>IF(L16&gt;=0,"✅ OK","⚠️ Excedido")</f>
        <v/>
      </c>
      <c r="N16" s="1" t="n"/>
      <c r="O16" s="1" t="n"/>
      <c r="P16" s="1" t="n"/>
    </row>
    <row r="17" ht="16" customHeight="1">
      <c r="A17" s="1" t="n"/>
      <c r="B17" s="22" t="inlineStr"/>
      <c r="C17" s="23" t="inlineStr"/>
      <c r="D17" s="24" t="inlineStr"/>
      <c r="E17" s="25" t="inlineStr"/>
      <c r="F17" s="31" t="inlineStr">
        <is>
          <t>Gasto</t>
        </is>
      </c>
      <c r="G17" s="27">
        <f>IF(E17="",G16,IF(F17="Ingreso",G16+E17,G16-E17))</f>
        <v/>
      </c>
      <c r="H17" s="1" t="n"/>
      <c r="I17" s="11">
        <f>'⚙️ Configuración'!B17</f>
        <v/>
      </c>
      <c r="J17" s="28">
        <f>'⚙️ Configuración'!C17</f>
        <v/>
      </c>
      <c r="K17" s="29">
        <f>SUMIF(D9:D48,I17,E9:E48)</f>
        <v/>
      </c>
      <c r="L17" s="30">
        <f>J17-K17</f>
        <v/>
      </c>
      <c r="M17" s="26">
        <f>IF(L17&gt;=0,"✅ OK","⚠️ Excedido")</f>
        <v/>
      </c>
      <c r="N17" s="1" t="n"/>
      <c r="O17" s="1" t="n"/>
      <c r="P17" s="1" t="n"/>
    </row>
    <row r="18" ht="16" customHeight="1">
      <c r="A18" s="1" t="n"/>
      <c r="B18" s="22" t="inlineStr"/>
      <c r="C18" s="23" t="inlineStr"/>
      <c r="D18" s="24" t="inlineStr"/>
      <c r="E18" s="25" t="inlineStr"/>
      <c r="F18" s="31" t="inlineStr">
        <is>
          <t>Gasto</t>
        </is>
      </c>
      <c r="G18" s="27">
        <f>IF(E18="",G17,IF(F18="Ingreso",G17+E18,G17-E18))</f>
        <v/>
      </c>
      <c r="H18" s="1" t="n"/>
      <c r="I18" s="11">
        <f>'⚙️ Configuración'!B18</f>
        <v/>
      </c>
      <c r="J18" s="28">
        <f>'⚙️ Configuración'!C18</f>
        <v/>
      </c>
      <c r="K18" s="29">
        <f>SUMIF(D9:D48,I18,E9:E48)</f>
        <v/>
      </c>
      <c r="L18" s="30">
        <f>J18-K18</f>
        <v/>
      </c>
      <c r="M18" s="26">
        <f>IF(L18&gt;=0,"✅ OK","⚠️ Excedido")</f>
        <v/>
      </c>
      <c r="N18" s="1" t="n"/>
      <c r="O18" s="1" t="n"/>
      <c r="P18" s="1" t="n"/>
    </row>
    <row r="19" ht="16" customHeight="1">
      <c r="A19" s="1" t="n"/>
      <c r="B19" s="22" t="inlineStr"/>
      <c r="C19" s="23" t="inlineStr"/>
      <c r="D19" s="24" t="inlineStr"/>
      <c r="E19" s="25" t="inlineStr"/>
      <c r="F19" s="31" t="inlineStr">
        <is>
          <t>Gasto</t>
        </is>
      </c>
      <c r="G19" s="27">
        <f>IF(E19="",G18,IF(F19="Ingreso",G18+E19,G18-E19))</f>
        <v/>
      </c>
      <c r="H19" s="1" t="n"/>
      <c r="I19" s="11">
        <f>'⚙️ Configuración'!B19</f>
        <v/>
      </c>
      <c r="J19" s="28">
        <f>'⚙️ Configuración'!C19</f>
        <v/>
      </c>
      <c r="K19" s="29">
        <f>SUMIF(D9:D48,I19,E9:E48)</f>
        <v/>
      </c>
      <c r="L19" s="30">
        <f>J19-K19</f>
        <v/>
      </c>
      <c r="M19" s="26">
        <f>IF(L19&gt;=0,"✅ OK","⚠️ Excedido")</f>
        <v/>
      </c>
      <c r="N19" s="1" t="n"/>
      <c r="O19" s="1" t="n"/>
      <c r="P19" s="1" t="n"/>
    </row>
    <row r="20" ht="16" customHeight="1">
      <c r="A20" s="1" t="n"/>
      <c r="B20" s="22" t="inlineStr"/>
      <c r="C20" s="23" t="inlineStr"/>
      <c r="D20" s="24" t="inlineStr"/>
      <c r="E20" s="25" t="inlineStr"/>
      <c r="F20" s="31" t="inlineStr">
        <is>
          <t>Gasto</t>
        </is>
      </c>
      <c r="G20" s="27">
        <f>IF(E20="",G19,IF(F20="Ingreso",G19+E20,G19-E20))</f>
        <v/>
      </c>
      <c r="H20" s="1" t="n"/>
      <c r="I20" s="11">
        <f>'⚙️ Configuración'!B20</f>
        <v/>
      </c>
      <c r="J20" s="28">
        <f>'⚙️ Configuración'!C20</f>
        <v/>
      </c>
      <c r="K20" s="29">
        <f>SUMIF(D9:D48,I20,E9:E48)</f>
        <v/>
      </c>
      <c r="L20" s="30">
        <f>J20-K20</f>
        <v/>
      </c>
      <c r="M20" s="26">
        <f>IF(L20&gt;=0,"✅ OK","⚠️ Excedido")</f>
        <v/>
      </c>
      <c r="N20" s="1" t="n"/>
      <c r="O20" s="1" t="n"/>
      <c r="P20" s="1" t="n"/>
    </row>
    <row r="21" ht="16" customHeight="1">
      <c r="A21" s="1" t="n"/>
      <c r="B21" s="22" t="inlineStr"/>
      <c r="C21" s="23" t="inlineStr"/>
      <c r="D21" s="24" t="inlineStr"/>
      <c r="E21" s="25" t="inlineStr"/>
      <c r="F21" s="31" t="inlineStr">
        <is>
          <t>Gasto</t>
        </is>
      </c>
      <c r="G21" s="27">
        <f>IF(E21="",G20,IF(F21="Ingreso",G20+E21,G20-E21))</f>
        <v/>
      </c>
      <c r="H21" s="1" t="n"/>
      <c r="I21" s="11">
        <f>'⚙️ Configuración'!B21</f>
        <v/>
      </c>
      <c r="J21" s="28">
        <f>'⚙️ Configuración'!C21</f>
        <v/>
      </c>
      <c r="K21" s="29">
        <f>SUMIF(D9:D48,I21,E9:E48)</f>
        <v/>
      </c>
      <c r="L21" s="30">
        <f>J21-K21</f>
        <v/>
      </c>
      <c r="M21" s="26">
        <f>IF(L21&gt;=0,"✅ OK","⚠️ Excedido")</f>
        <v/>
      </c>
      <c r="N21" s="1" t="n"/>
      <c r="O21" s="1" t="n"/>
      <c r="P21" s="1" t="n"/>
    </row>
    <row r="22" ht="16" customHeight="1">
      <c r="A22" s="1" t="n"/>
      <c r="B22" s="22" t="inlineStr"/>
      <c r="C22" s="23" t="inlineStr"/>
      <c r="D22" s="24" t="inlineStr"/>
      <c r="E22" s="25" t="inlineStr"/>
      <c r="F22" s="31" t="inlineStr">
        <is>
          <t>Gasto</t>
        </is>
      </c>
      <c r="G22" s="27">
        <f>IF(E22="",G21,IF(F22="Ingreso",G21+E22,G21-E22))</f>
        <v/>
      </c>
      <c r="H22" s="1" t="n"/>
      <c r="I22" s="11">
        <f>'⚙️ Configuración'!B22</f>
        <v/>
      </c>
      <c r="J22" s="28">
        <f>'⚙️ Configuración'!C22</f>
        <v/>
      </c>
      <c r="K22" s="29">
        <f>SUMIF(D9:D48,I22,E9:E48)</f>
        <v/>
      </c>
      <c r="L22" s="30">
        <f>J22-K22</f>
        <v/>
      </c>
      <c r="M22" s="26">
        <f>IF(L22&gt;=0,"✅ OK","⚠️ Excedido")</f>
        <v/>
      </c>
      <c r="N22" s="1" t="n"/>
      <c r="O22" s="1" t="n"/>
      <c r="P22" s="1" t="n"/>
    </row>
    <row r="23" ht="16" customHeight="1">
      <c r="A23" s="1" t="n"/>
      <c r="B23" s="22" t="inlineStr"/>
      <c r="C23" s="23" t="inlineStr"/>
      <c r="D23" s="24" t="inlineStr"/>
      <c r="E23" s="25" t="inlineStr"/>
      <c r="F23" s="31" t="inlineStr">
        <is>
          <t>Gasto</t>
        </is>
      </c>
      <c r="G23" s="27">
        <f>IF(E23="",G22,IF(F23="Ingreso",G22+E23,G22-E23))</f>
        <v/>
      </c>
      <c r="H23" s="1" t="n"/>
      <c r="I23" s="11">
        <f>'⚙️ Configuración'!B23</f>
        <v/>
      </c>
      <c r="J23" s="28">
        <f>'⚙️ Configuración'!C23</f>
        <v/>
      </c>
      <c r="K23" s="29">
        <f>SUMIF(D9:D48,I23,E9:E48)</f>
        <v/>
      </c>
      <c r="L23" s="30">
        <f>J23-K23</f>
        <v/>
      </c>
      <c r="M23" s="26">
        <f>IF(L23&gt;=0,"✅ OK","⚠️ Excedido")</f>
        <v/>
      </c>
      <c r="N23" s="1" t="n"/>
      <c r="O23" s="1" t="n"/>
      <c r="P23" s="1" t="n"/>
    </row>
    <row r="24" ht="16" customHeight="1">
      <c r="A24" s="1" t="n"/>
      <c r="B24" s="22" t="inlineStr"/>
      <c r="C24" s="23" t="inlineStr"/>
      <c r="D24" s="24" t="inlineStr"/>
      <c r="E24" s="25" t="inlineStr"/>
      <c r="F24" s="31" t="inlineStr">
        <is>
          <t>Gasto</t>
        </is>
      </c>
      <c r="G24" s="27">
        <f>IF(E24="",G23,IF(F24="Ingreso",G23+E24,G23-E24))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6" customHeight="1">
      <c r="A25" s="1" t="n"/>
      <c r="B25" s="22" t="inlineStr"/>
      <c r="C25" s="23" t="inlineStr"/>
      <c r="D25" s="24" t="inlineStr"/>
      <c r="E25" s="25" t="inlineStr"/>
      <c r="F25" s="31" t="inlineStr">
        <is>
          <t>Gasto</t>
        </is>
      </c>
      <c r="G25" s="27">
        <f>IF(E25="",G24,IF(F25="Ingreso",G24+E25,G24-E25))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6" customHeight="1">
      <c r="A26" s="1" t="n"/>
      <c r="B26" s="22" t="inlineStr"/>
      <c r="C26" s="23" t="inlineStr"/>
      <c r="D26" s="24" t="inlineStr"/>
      <c r="E26" s="25" t="inlineStr"/>
      <c r="F26" s="31" t="inlineStr">
        <is>
          <t>Gasto</t>
        </is>
      </c>
      <c r="G26" s="27">
        <f>IF(E26="",G25,IF(F26="Ingreso",G25+E26,G25-E26))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6" customHeight="1">
      <c r="A27" s="1" t="n"/>
      <c r="B27" s="22" t="inlineStr"/>
      <c r="C27" s="23" t="inlineStr"/>
      <c r="D27" s="24" t="inlineStr"/>
      <c r="E27" s="25" t="inlineStr"/>
      <c r="F27" s="31" t="inlineStr">
        <is>
          <t>Gasto</t>
        </is>
      </c>
      <c r="G27" s="27">
        <f>IF(E27="",G26,IF(F27="Ingreso",G26+E27,G26-E27))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6" customHeight="1">
      <c r="A28" s="1" t="n"/>
      <c r="B28" s="22" t="inlineStr"/>
      <c r="C28" s="23" t="inlineStr"/>
      <c r="D28" s="24" t="inlineStr"/>
      <c r="E28" s="25" t="inlineStr"/>
      <c r="F28" s="31" t="inlineStr">
        <is>
          <t>Gasto</t>
        </is>
      </c>
      <c r="G28" s="27">
        <f>IF(E28="",G27,IF(F28="Ingreso",G27+E28,G27-E28))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6" customHeight="1">
      <c r="A29" s="1" t="n"/>
      <c r="B29" s="22" t="inlineStr"/>
      <c r="C29" s="23" t="inlineStr"/>
      <c r="D29" s="24" t="inlineStr"/>
      <c r="E29" s="25" t="inlineStr"/>
      <c r="F29" s="31" t="inlineStr">
        <is>
          <t>Gasto</t>
        </is>
      </c>
      <c r="G29" s="27">
        <f>IF(E29="",G28,IF(F29="Ingreso",G28+E29,G28-E29))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6" customHeight="1">
      <c r="A30" s="1" t="n"/>
      <c r="B30" s="22" t="inlineStr"/>
      <c r="C30" s="23" t="inlineStr"/>
      <c r="D30" s="24" t="inlineStr"/>
      <c r="E30" s="25" t="inlineStr"/>
      <c r="F30" s="31" t="inlineStr">
        <is>
          <t>Gasto</t>
        </is>
      </c>
      <c r="G30" s="27">
        <f>IF(E30="",G29,IF(F30="Ingreso",G29+E30,G29-E30))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6" customHeight="1">
      <c r="A31" s="1" t="n"/>
      <c r="B31" s="22" t="inlineStr"/>
      <c r="C31" s="23" t="inlineStr"/>
      <c r="D31" s="24" t="inlineStr"/>
      <c r="E31" s="25" t="inlineStr"/>
      <c r="F31" s="31" t="inlineStr">
        <is>
          <t>Gasto</t>
        </is>
      </c>
      <c r="G31" s="27">
        <f>IF(E31="",G30,IF(F31="Ingreso",G30+E31,G30-E31))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6" customHeight="1">
      <c r="A32" s="1" t="n"/>
      <c r="B32" s="22" t="inlineStr"/>
      <c r="C32" s="23" t="inlineStr"/>
      <c r="D32" s="24" t="inlineStr"/>
      <c r="E32" s="25" t="inlineStr"/>
      <c r="F32" s="31" t="inlineStr">
        <is>
          <t>Gasto</t>
        </is>
      </c>
      <c r="G32" s="27">
        <f>IF(E32="",G31,IF(F32="Ingreso",G31+E32,G31-E32))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6" customHeight="1">
      <c r="A33" s="1" t="n"/>
      <c r="B33" s="22" t="inlineStr"/>
      <c r="C33" s="23" t="inlineStr"/>
      <c r="D33" s="24" t="inlineStr"/>
      <c r="E33" s="25" t="inlineStr"/>
      <c r="F33" s="31" t="inlineStr">
        <is>
          <t>Gasto</t>
        </is>
      </c>
      <c r="G33" s="27">
        <f>IF(E33="",G32,IF(F33="Ingreso",G32+E33,G32-E33))</f>
        <v/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6" customHeight="1">
      <c r="A34" s="1" t="n"/>
      <c r="B34" s="22" t="inlineStr"/>
      <c r="C34" s="23" t="inlineStr"/>
      <c r="D34" s="24" t="inlineStr"/>
      <c r="E34" s="25" t="inlineStr"/>
      <c r="F34" s="31" t="inlineStr">
        <is>
          <t>Gasto</t>
        </is>
      </c>
      <c r="G34" s="27">
        <f>IF(E34="",G33,IF(F34="Ingreso",G33+E34,G33-E34))</f>
        <v/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6" customHeight="1">
      <c r="A35" s="1" t="n"/>
      <c r="B35" s="22" t="inlineStr"/>
      <c r="C35" s="23" t="inlineStr"/>
      <c r="D35" s="24" t="inlineStr"/>
      <c r="E35" s="25" t="inlineStr"/>
      <c r="F35" s="31" t="inlineStr">
        <is>
          <t>Gasto</t>
        </is>
      </c>
      <c r="G35" s="27">
        <f>IF(E35="",G34,IF(F35="Ingreso",G34+E35,G34-E35))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6" customHeight="1">
      <c r="A36" s="1" t="n"/>
      <c r="B36" s="22" t="inlineStr"/>
      <c r="C36" s="23" t="inlineStr"/>
      <c r="D36" s="24" t="inlineStr"/>
      <c r="E36" s="25" t="inlineStr"/>
      <c r="F36" s="31" t="inlineStr">
        <is>
          <t>Gasto</t>
        </is>
      </c>
      <c r="G36" s="27">
        <f>IF(E36="",G35,IF(F36="Ingreso",G35+E36,G35-E36))</f>
        <v/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6" customHeight="1">
      <c r="A37" s="1" t="n"/>
      <c r="B37" s="22" t="inlineStr"/>
      <c r="C37" s="23" t="inlineStr"/>
      <c r="D37" s="24" t="inlineStr"/>
      <c r="E37" s="25" t="inlineStr"/>
      <c r="F37" s="31" t="inlineStr">
        <is>
          <t>Gasto</t>
        </is>
      </c>
      <c r="G37" s="27">
        <f>IF(E37="",G36,IF(F37="Ingreso",G36+E37,G36-E37))</f>
        <v/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6" customHeight="1">
      <c r="A38" s="1" t="n"/>
      <c r="B38" s="22" t="inlineStr"/>
      <c r="C38" s="23" t="inlineStr"/>
      <c r="D38" s="24" t="inlineStr"/>
      <c r="E38" s="25" t="inlineStr"/>
      <c r="F38" s="31" t="inlineStr">
        <is>
          <t>Gasto</t>
        </is>
      </c>
      <c r="G38" s="27">
        <f>IF(E38="",G37,IF(F38="Ingreso",G37+E38,G37-E38))</f>
        <v/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6" customHeight="1">
      <c r="A39" s="1" t="n"/>
      <c r="B39" s="22" t="inlineStr"/>
      <c r="C39" s="23" t="inlineStr"/>
      <c r="D39" s="24" t="inlineStr"/>
      <c r="E39" s="25" t="inlineStr"/>
      <c r="F39" s="31" t="inlineStr">
        <is>
          <t>Gasto</t>
        </is>
      </c>
      <c r="G39" s="27">
        <f>IF(E39="",G38,IF(F39="Ingreso",G38+E39,G38-E39))</f>
        <v/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6" customHeight="1">
      <c r="A40" s="1" t="n"/>
      <c r="B40" s="22" t="inlineStr"/>
      <c r="C40" s="23" t="inlineStr"/>
      <c r="D40" s="24" t="inlineStr"/>
      <c r="E40" s="25" t="inlineStr"/>
      <c r="F40" s="31" t="inlineStr">
        <is>
          <t>Gasto</t>
        </is>
      </c>
      <c r="G40" s="27">
        <f>IF(E40="",G39,IF(F40="Ingreso",G39+E40,G39-E40))</f>
        <v/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16" customHeight="1">
      <c r="A41" s="1" t="n"/>
      <c r="B41" s="22" t="inlineStr"/>
      <c r="C41" s="23" t="inlineStr"/>
      <c r="D41" s="24" t="inlineStr"/>
      <c r="E41" s="25" t="inlineStr"/>
      <c r="F41" s="31" t="inlineStr">
        <is>
          <t>Gasto</t>
        </is>
      </c>
      <c r="G41" s="27">
        <f>IF(E41="",G40,IF(F41="Ingreso",G40+E41,G40-E41))</f>
        <v/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6" customHeight="1">
      <c r="A42" s="1" t="n"/>
      <c r="B42" s="22" t="inlineStr"/>
      <c r="C42" s="23" t="inlineStr"/>
      <c r="D42" s="24" t="inlineStr"/>
      <c r="E42" s="25" t="inlineStr"/>
      <c r="F42" s="31" t="inlineStr">
        <is>
          <t>Gasto</t>
        </is>
      </c>
      <c r="G42" s="27">
        <f>IF(E42="",G41,IF(F42="Ingreso",G41+E42,G41-E42))</f>
        <v/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16" customHeight="1">
      <c r="A43" s="1" t="n"/>
      <c r="B43" s="22" t="inlineStr"/>
      <c r="C43" s="23" t="inlineStr"/>
      <c r="D43" s="24" t="inlineStr"/>
      <c r="E43" s="25" t="inlineStr"/>
      <c r="F43" s="31" t="inlineStr">
        <is>
          <t>Gasto</t>
        </is>
      </c>
      <c r="G43" s="27">
        <f>IF(E43="",G42,IF(F43="Ingreso",G42+E43,G42-E43))</f>
        <v/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6" customHeight="1">
      <c r="A44" s="1" t="n"/>
      <c r="B44" s="22" t="inlineStr"/>
      <c r="C44" s="23" t="inlineStr"/>
      <c r="D44" s="24" t="inlineStr"/>
      <c r="E44" s="25" t="inlineStr"/>
      <c r="F44" s="31" t="inlineStr">
        <is>
          <t>Gasto</t>
        </is>
      </c>
      <c r="G44" s="27">
        <f>IF(E44="",G43,IF(F44="Ingreso",G43+E44,G43-E44))</f>
        <v/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6" customHeight="1">
      <c r="A45" s="1" t="n"/>
      <c r="B45" s="22" t="inlineStr"/>
      <c r="C45" s="23" t="inlineStr"/>
      <c r="D45" s="24" t="inlineStr"/>
      <c r="E45" s="25" t="inlineStr"/>
      <c r="F45" s="31" t="inlineStr">
        <is>
          <t>Gasto</t>
        </is>
      </c>
      <c r="G45" s="27">
        <f>IF(E45="",G44,IF(F45="Ingreso",G44+E45,G44-E45))</f>
        <v/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6" customHeight="1">
      <c r="A46" s="1" t="n"/>
      <c r="B46" s="22" t="inlineStr"/>
      <c r="C46" s="23" t="inlineStr"/>
      <c r="D46" s="24" t="inlineStr"/>
      <c r="E46" s="25" t="inlineStr"/>
      <c r="F46" s="31" t="inlineStr">
        <is>
          <t>Gasto</t>
        </is>
      </c>
      <c r="G46" s="27">
        <f>IF(E46="",G45,IF(F46="Ingreso",G45+E46,G45-E46))</f>
        <v/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6" customHeight="1">
      <c r="A47" s="1" t="n"/>
      <c r="B47" s="22" t="inlineStr"/>
      <c r="C47" s="23" t="inlineStr"/>
      <c r="D47" s="24" t="inlineStr"/>
      <c r="E47" s="25" t="inlineStr"/>
      <c r="F47" s="31" t="inlineStr">
        <is>
          <t>Gasto</t>
        </is>
      </c>
      <c r="G47" s="27">
        <f>IF(E47="",G46,IF(F47="Ingreso",G46+E47,G46-E47))</f>
        <v/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6" customHeight="1">
      <c r="A48" s="1" t="n"/>
      <c r="B48" s="22" t="inlineStr"/>
      <c r="C48" s="23" t="inlineStr"/>
      <c r="D48" s="24" t="inlineStr"/>
      <c r="E48" s="25" t="inlineStr"/>
      <c r="F48" s="31" t="inlineStr">
        <is>
          <t>Gasto</t>
        </is>
      </c>
      <c r="G48" s="27">
        <f>IF(E48="",G47,IF(F48="Ingreso",G47+E48,G47-E48))</f>
        <v/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 ht="16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 ht="1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 ht="16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 ht="16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 ht="16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 ht="1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 ht="1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 ht="1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 ht="1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 ht="1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 ht="1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 ht="1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 ht="1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 ht="1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 ht="1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 ht="1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 ht="1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</sheetData>
  <mergeCells count="3">
    <mergeCell ref="I7:M7"/>
    <mergeCell ref="B2:G2"/>
    <mergeCell ref="B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18" customWidth="1" min="4" max="4"/>
    <col width="14" customWidth="1" min="5" max="5"/>
    <col width="12" customWidth="1" min="6" max="6"/>
    <col width="14" customWidth="1" min="7" max="7"/>
    <col width="2" customWidth="1" min="8" max="8"/>
    <col width="26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36" t="inlineStr">
        <is>
          <t>ABRIL  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6" customHeight="1">
      <c r="A4" s="1" t="n"/>
      <c r="B4" s="15" t="inlineStr">
        <is>
          <t>💰 INGRESOS</t>
        </is>
      </c>
      <c r="C4" s="15" t="inlineStr">
        <is>
          <t>💸 GASTOS</t>
        </is>
      </c>
      <c r="D4" s="15" t="inlineStr">
        <is>
          <t>💾 AHORRO</t>
        </is>
      </c>
      <c r="E4" s="15" t="inlineStr">
        <is>
          <t>% AHORRO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24" customHeight="1">
      <c r="A5" s="1" t="n"/>
      <c r="B5" s="16">
        <f>SUMIF(F8:F200,"Ingreso",E8:E200)</f>
        <v/>
      </c>
      <c r="C5" s="17">
        <f>SUMIF(F8:F200,"Gasto",E8:E200)</f>
        <v/>
      </c>
      <c r="D5" s="18">
        <f>SUMIF(F8:F200,"Ingreso",E8:E200)-SUMIF(F8:F200,"Gasto",E8:E200)</f>
        <v/>
      </c>
      <c r="E5" s="19">
        <f>IFERROR((SUMIF(F8:F200,"Ingreso",E8:E200)-SUMIF(F8:F200,"Gasto",E8:E200))/SUMIF(F8:F200,"Ingreso",E8:E200),0)</f>
        <v/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6" customHeight="1">
      <c r="A7" s="1" t="n"/>
      <c r="B7" s="37" t="inlineStr">
        <is>
          <t>📝  REGISTRO DE TRANSACCIONES</t>
        </is>
      </c>
      <c r="H7" s="1" t="n"/>
      <c r="I7" s="37" t="inlineStr">
        <is>
          <t>📊  PRESUPUESTO vs REAL</t>
        </is>
      </c>
      <c r="N7" s="1" t="n"/>
      <c r="O7" s="1" t="n"/>
      <c r="P7" s="1" t="n"/>
    </row>
    <row r="8" ht="16" customHeight="1">
      <c r="A8" s="1" t="n"/>
      <c r="B8" s="21" t="inlineStr">
        <is>
          <t>FECHA</t>
        </is>
      </c>
      <c r="C8" s="21" t="inlineStr">
        <is>
          <t>DESCRIPCIÓN</t>
        </is>
      </c>
      <c r="D8" s="21" t="inlineStr">
        <is>
          <t>CATEGORÍA</t>
        </is>
      </c>
      <c r="E8" s="21" t="inlineStr">
        <is>
          <t>MONTO</t>
        </is>
      </c>
      <c r="F8" s="21" t="inlineStr">
        <is>
          <t>TIPO</t>
        </is>
      </c>
      <c r="G8" s="21" t="inlineStr">
        <is>
          <t>ACUMULADO</t>
        </is>
      </c>
      <c r="H8" s="1" t="n"/>
      <c r="I8" s="21" t="inlineStr">
        <is>
          <t>CATEGORÍA</t>
        </is>
      </c>
      <c r="J8" s="21" t="inlineStr">
        <is>
          <t>PRESUPUESTO</t>
        </is>
      </c>
      <c r="K8" s="21" t="inlineStr">
        <is>
          <t>REAL</t>
        </is>
      </c>
      <c r="L8" s="21" t="inlineStr">
        <is>
          <t>DIFERENCIA</t>
        </is>
      </c>
      <c r="M8" s="21" t="inlineStr">
        <is>
          <t>ESTADO</t>
        </is>
      </c>
      <c r="N8" s="1" t="n"/>
      <c r="O8" s="1" t="n"/>
      <c r="P8" s="1" t="n"/>
    </row>
    <row r="9" ht="16" customHeight="1">
      <c r="A9" s="1" t="n"/>
      <c r="B9" s="22" t="inlineStr"/>
      <c r="C9" s="23" t="inlineStr"/>
      <c r="D9" s="24" t="inlineStr"/>
      <c r="E9" s="25" t="inlineStr"/>
      <c r="F9" s="26" t="inlineStr">
        <is>
          <t>Ingreso</t>
        </is>
      </c>
      <c r="G9" s="27">
        <f>IF(F9="Ingreso",E9,-E9)</f>
        <v/>
      </c>
      <c r="H9" s="1" t="n"/>
      <c r="I9" s="11">
        <f>'⚙️ Configuración'!B9</f>
        <v/>
      </c>
      <c r="J9" s="28">
        <f>'⚙️ Configuración'!C9</f>
        <v/>
      </c>
      <c r="K9" s="29">
        <f>SUMIF(D9:D48,I9,E9:E48)</f>
        <v/>
      </c>
      <c r="L9" s="30">
        <f>J9-K9</f>
        <v/>
      </c>
      <c r="M9" s="26">
        <f>IF(L9&gt;=0,"✅ OK","⚠️ Excedido")</f>
        <v/>
      </c>
      <c r="N9" s="1" t="n"/>
      <c r="O9" s="1" t="n"/>
      <c r="P9" s="1" t="n"/>
    </row>
    <row r="10" ht="16" customHeight="1">
      <c r="A10" s="1" t="n"/>
      <c r="B10" s="22" t="inlineStr"/>
      <c r="C10" s="23" t="inlineStr"/>
      <c r="D10" s="24" t="inlineStr"/>
      <c r="E10" s="25" t="inlineStr"/>
      <c r="F10" s="31" t="inlineStr">
        <is>
          <t>Gasto</t>
        </is>
      </c>
      <c r="G10" s="27">
        <f>IF(E10="",G9,IF(F10="Ingreso",G9+E10,G9-E10))</f>
        <v/>
      </c>
      <c r="H10" s="1" t="n"/>
      <c r="I10" s="11">
        <f>'⚙️ Configuración'!B10</f>
        <v/>
      </c>
      <c r="J10" s="28">
        <f>'⚙️ Configuración'!C10</f>
        <v/>
      </c>
      <c r="K10" s="29">
        <f>SUMIF(D9:D48,I10,E9:E48)</f>
        <v/>
      </c>
      <c r="L10" s="30">
        <f>J10-K10</f>
        <v/>
      </c>
      <c r="M10" s="26">
        <f>IF(L10&gt;=0,"✅ OK","⚠️ Excedido")</f>
        <v/>
      </c>
      <c r="N10" s="1" t="n"/>
      <c r="O10" s="1" t="n"/>
      <c r="P10" s="1" t="n"/>
    </row>
    <row r="11" ht="16" customHeight="1">
      <c r="A11" s="1" t="n"/>
      <c r="B11" s="22" t="inlineStr"/>
      <c r="C11" s="23" t="inlineStr"/>
      <c r="D11" s="24" t="inlineStr"/>
      <c r="E11" s="25" t="inlineStr"/>
      <c r="F11" s="31" t="inlineStr">
        <is>
          <t>Gasto</t>
        </is>
      </c>
      <c r="G11" s="27">
        <f>IF(E11="",G10,IF(F11="Ingreso",G10+E11,G10-E11))</f>
        <v/>
      </c>
      <c r="H11" s="1" t="n"/>
      <c r="I11" s="11">
        <f>'⚙️ Configuración'!B11</f>
        <v/>
      </c>
      <c r="J11" s="28">
        <f>'⚙️ Configuración'!C11</f>
        <v/>
      </c>
      <c r="K11" s="29">
        <f>SUMIF(D9:D48,I11,E9:E48)</f>
        <v/>
      </c>
      <c r="L11" s="30">
        <f>J11-K11</f>
        <v/>
      </c>
      <c r="M11" s="26">
        <f>IF(L11&gt;=0,"✅ OK","⚠️ Excedido")</f>
        <v/>
      </c>
      <c r="N11" s="1" t="n"/>
      <c r="O11" s="1" t="n"/>
      <c r="P11" s="1" t="n"/>
    </row>
    <row r="12" ht="16" customHeight="1">
      <c r="A12" s="1" t="n"/>
      <c r="B12" s="22" t="inlineStr"/>
      <c r="C12" s="23" t="inlineStr"/>
      <c r="D12" s="24" t="inlineStr"/>
      <c r="E12" s="25" t="inlineStr"/>
      <c r="F12" s="31" t="inlineStr">
        <is>
          <t>Gasto</t>
        </is>
      </c>
      <c r="G12" s="27">
        <f>IF(E12="",G11,IF(F12="Ingreso",G11+E12,G11-E12))</f>
        <v/>
      </c>
      <c r="H12" s="1" t="n"/>
      <c r="I12" s="11">
        <f>'⚙️ Configuración'!B12</f>
        <v/>
      </c>
      <c r="J12" s="28">
        <f>'⚙️ Configuración'!C12</f>
        <v/>
      </c>
      <c r="K12" s="29">
        <f>SUMIF(D9:D48,I12,E9:E48)</f>
        <v/>
      </c>
      <c r="L12" s="30">
        <f>J12-K12</f>
        <v/>
      </c>
      <c r="M12" s="26">
        <f>IF(L12&gt;=0,"✅ OK","⚠️ Excedido")</f>
        <v/>
      </c>
      <c r="N12" s="1" t="n"/>
      <c r="O12" s="1" t="n"/>
      <c r="P12" s="1" t="n"/>
    </row>
    <row r="13" ht="16" customHeight="1">
      <c r="A13" s="1" t="n"/>
      <c r="B13" s="22" t="inlineStr"/>
      <c r="C13" s="23" t="inlineStr"/>
      <c r="D13" s="24" t="inlineStr"/>
      <c r="E13" s="25" t="inlineStr"/>
      <c r="F13" s="31" t="inlineStr">
        <is>
          <t>Gasto</t>
        </is>
      </c>
      <c r="G13" s="27">
        <f>IF(E13="",G12,IF(F13="Ingreso",G12+E13,G12-E13))</f>
        <v/>
      </c>
      <c r="H13" s="1" t="n"/>
      <c r="I13" s="11">
        <f>'⚙️ Configuración'!B13</f>
        <v/>
      </c>
      <c r="J13" s="28">
        <f>'⚙️ Configuración'!C13</f>
        <v/>
      </c>
      <c r="K13" s="29">
        <f>SUMIF(D9:D48,I13,E9:E48)</f>
        <v/>
      </c>
      <c r="L13" s="30">
        <f>J13-K13</f>
        <v/>
      </c>
      <c r="M13" s="26">
        <f>IF(L13&gt;=0,"✅ OK","⚠️ Excedido")</f>
        <v/>
      </c>
      <c r="N13" s="1" t="n"/>
      <c r="O13" s="1" t="n"/>
      <c r="P13" s="1" t="n"/>
    </row>
    <row r="14" ht="16" customHeight="1">
      <c r="A14" s="1" t="n"/>
      <c r="B14" s="22" t="inlineStr"/>
      <c r="C14" s="23" t="inlineStr"/>
      <c r="D14" s="24" t="inlineStr"/>
      <c r="E14" s="25" t="inlineStr"/>
      <c r="F14" s="31" t="inlineStr">
        <is>
          <t>Gasto</t>
        </is>
      </c>
      <c r="G14" s="27">
        <f>IF(E14="",G13,IF(F14="Ingreso",G13+E14,G13-E14))</f>
        <v/>
      </c>
      <c r="H14" s="1" t="n"/>
      <c r="I14" s="11">
        <f>'⚙️ Configuración'!B14</f>
        <v/>
      </c>
      <c r="J14" s="28">
        <f>'⚙️ Configuración'!C14</f>
        <v/>
      </c>
      <c r="K14" s="29">
        <f>SUMIF(D9:D48,I14,E9:E48)</f>
        <v/>
      </c>
      <c r="L14" s="30">
        <f>J14-K14</f>
        <v/>
      </c>
      <c r="M14" s="26">
        <f>IF(L14&gt;=0,"✅ OK","⚠️ Excedido")</f>
        <v/>
      </c>
      <c r="N14" s="1" t="n"/>
      <c r="O14" s="1" t="n"/>
      <c r="P14" s="1" t="n"/>
    </row>
    <row r="15" ht="16" customHeight="1">
      <c r="A15" s="1" t="n"/>
      <c r="B15" s="22" t="inlineStr"/>
      <c r="C15" s="23" t="inlineStr"/>
      <c r="D15" s="24" t="inlineStr"/>
      <c r="E15" s="25" t="inlineStr"/>
      <c r="F15" s="31" t="inlineStr">
        <is>
          <t>Gasto</t>
        </is>
      </c>
      <c r="G15" s="27">
        <f>IF(E15="",G14,IF(F15="Ingreso",G14+E15,G14-E15))</f>
        <v/>
      </c>
      <c r="H15" s="1" t="n"/>
      <c r="I15" s="11">
        <f>'⚙️ Configuración'!B15</f>
        <v/>
      </c>
      <c r="J15" s="28">
        <f>'⚙️ Configuración'!C15</f>
        <v/>
      </c>
      <c r="K15" s="29">
        <f>SUMIF(D9:D48,I15,E9:E48)</f>
        <v/>
      </c>
      <c r="L15" s="30">
        <f>J15-K15</f>
        <v/>
      </c>
      <c r="M15" s="26">
        <f>IF(L15&gt;=0,"✅ OK","⚠️ Excedido")</f>
        <v/>
      </c>
      <c r="N15" s="1" t="n"/>
      <c r="O15" s="1" t="n"/>
      <c r="P15" s="1" t="n"/>
    </row>
    <row r="16" ht="16" customHeight="1">
      <c r="A16" s="1" t="n"/>
      <c r="B16" s="22" t="inlineStr"/>
      <c r="C16" s="23" t="inlineStr"/>
      <c r="D16" s="24" t="inlineStr"/>
      <c r="E16" s="25" t="inlineStr"/>
      <c r="F16" s="31" t="inlineStr">
        <is>
          <t>Gasto</t>
        </is>
      </c>
      <c r="G16" s="27">
        <f>IF(E16="",G15,IF(F16="Ingreso",G15+E16,G15-E16))</f>
        <v/>
      </c>
      <c r="H16" s="1" t="n"/>
      <c r="I16" s="11">
        <f>'⚙️ Configuración'!B16</f>
        <v/>
      </c>
      <c r="J16" s="28">
        <f>'⚙️ Configuración'!C16</f>
        <v/>
      </c>
      <c r="K16" s="29">
        <f>SUMIF(D9:D48,I16,E9:E48)</f>
        <v/>
      </c>
      <c r="L16" s="30">
        <f>J16-K16</f>
        <v/>
      </c>
      <c r="M16" s="26">
        <f>IF(L16&gt;=0,"✅ OK","⚠️ Excedido")</f>
        <v/>
      </c>
      <c r="N16" s="1" t="n"/>
      <c r="O16" s="1" t="n"/>
      <c r="P16" s="1" t="n"/>
    </row>
    <row r="17" ht="16" customHeight="1">
      <c r="A17" s="1" t="n"/>
      <c r="B17" s="22" t="inlineStr"/>
      <c r="C17" s="23" t="inlineStr"/>
      <c r="D17" s="24" t="inlineStr"/>
      <c r="E17" s="25" t="inlineStr"/>
      <c r="F17" s="31" t="inlineStr">
        <is>
          <t>Gasto</t>
        </is>
      </c>
      <c r="G17" s="27">
        <f>IF(E17="",G16,IF(F17="Ingreso",G16+E17,G16-E17))</f>
        <v/>
      </c>
      <c r="H17" s="1" t="n"/>
      <c r="I17" s="11">
        <f>'⚙️ Configuración'!B17</f>
        <v/>
      </c>
      <c r="J17" s="28">
        <f>'⚙️ Configuración'!C17</f>
        <v/>
      </c>
      <c r="K17" s="29">
        <f>SUMIF(D9:D48,I17,E9:E48)</f>
        <v/>
      </c>
      <c r="L17" s="30">
        <f>J17-K17</f>
        <v/>
      </c>
      <c r="M17" s="26">
        <f>IF(L17&gt;=0,"✅ OK","⚠️ Excedido")</f>
        <v/>
      </c>
      <c r="N17" s="1" t="n"/>
      <c r="O17" s="1" t="n"/>
      <c r="P17" s="1" t="n"/>
    </row>
    <row r="18" ht="16" customHeight="1">
      <c r="A18" s="1" t="n"/>
      <c r="B18" s="22" t="inlineStr"/>
      <c r="C18" s="23" t="inlineStr"/>
      <c r="D18" s="24" t="inlineStr"/>
      <c r="E18" s="25" t="inlineStr"/>
      <c r="F18" s="31" t="inlineStr">
        <is>
          <t>Gasto</t>
        </is>
      </c>
      <c r="G18" s="27">
        <f>IF(E18="",G17,IF(F18="Ingreso",G17+E18,G17-E18))</f>
        <v/>
      </c>
      <c r="H18" s="1" t="n"/>
      <c r="I18" s="11">
        <f>'⚙️ Configuración'!B18</f>
        <v/>
      </c>
      <c r="J18" s="28">
        <f>'⚙️ Configuración'!C18</f>
        <v/>
      </c>
      <c r="K18" s="29">
        <f>SUMIF(D9:D48,I18,E9:E48)</f>
        <v/>
      </c>
      <c r="L18" s="30">
        <f>J18-K18</f>
        <v/>
      </c>
      <c r="M18" s="26">
        <f>IF(L18&gt;=0,"✅ OK","⚠️ Excedido")</f>
        <v/>
      </c>
      <c r="N18" s="1" t="n"/>
      <c r="O18" s="1" t="n"/>
      <c r="P18" s="1" t="n"/>
    </row>
    <row r="19" ht="16" customHeight="1">
      <c r="A19" s="1" t="n"/>
      <c r="B19" s="22" t="inlineStr"/>
      <c r="C19" s="23" t="inlineStr"/>
      <c r="D19" s="24" t="inlineStr"/>
      <c r="E19" s="25" t="inlineStr"/>
      <c r="F19" s="31" t="inlineStr">
        <is>
          <t>Gasto</t>
        </is>
      </c>
      <c r="G19" s="27">
        <f>IF(E19="",G18,IF(F19="Ingreso",G18+E19,G18-E19))</f>
        <v/>
      </c>
      <c r="H19" s="1" t="n"/>
      <c r="I19" s="11">
        <f>'⚙️ Configuración'!B19</f>
        <v/>
      </c>
      <c r="J19" s="28">
        <f>'⚙️ Configuración'!C19</f>
        <v/>
      </c>
      <c r="K19" s="29">
        <f>SUMIF(D9:D48,I19,E9:E48)</f>
        <v/>
      </c>
      <c r="L19" s="30">
        <f>J19-K19</f>
        <v/>
      </c>
      <c r="M19" s="26">
        <f>IF(L19&gt;=0,"✅ OK","⚠️ Excedido")</f>
        <v/>
      </c>
      <c r="N19" s="1" t="n"/>
      <c r="O19" s="1" t="n"/>
      <c r="P19" s="1" t="n"/>
    </row>
    <row r="20" ht="16" customHeight="1">
      <c r="A20" s="1" t="n"/>
      <c r="B20" s="22" t="inlineStr"/>
      <c r="C20" s="23" t="inlineStr"/>
      <c r="D20" s="24" t="inlineStr"/>
      <c r="E20" s="25" t="inlineStr"/>
      <c r="F20" s="31" t="inlineStr">
        <is>
          <t>Gasto</t>
        </is>
      </c>
      <c r="G20" s="27">
        <f>IF(E20="",G19,IF(F20="Ingreso",G19+E20,G19-E20))</f>
        <v/>
      </c>
      <c r="H20" s="1" t="n"/>
      <c r="I20" s="11">
        <f>'⚙️ Configuración'!B20</f>
        <v/>
      </c>
      <c r="J20" s="28">
        <f>'⚙️ Configuración'!C20</f>
        <v/>
      </c>
      <c r="K20" s="29">
        <f>SUMIF(D9:D48,I20,E9:E48)</f>
        <v/>
      </c>
      <c r="L20" s="30">
        <f>J20-K20</f>
        <v/>
      </c>
      <c r="M20" s="26">
        <f>IF(L20&gt;=0,"✅ OK","⚠️ Excedido")</f>
        <v/>
      </c>
      <c r="N20" s="1" t="n"/>
      <c r="O20" s="1" t="n"/>
      <c r="P20" s="1" t="n"/>
    </row>
    <row r="21" ht="16" customHeight="1">
      <c r="A21" s="1" t="n"/>
      <c r="B21" s="22" t="inlineStr"/>
      <c r="C21" s="23" t="inlineStr"/>
      <c r="D21" s="24" t="inlineStr"/>
      <c r="E21" s="25" t="inlineStr"/>
      <c r="F21" s="31" t="inlineStr">
        <is>
          <t>Gasto</t>
        </is>
      </c>
      <c r="G21" s="27">
        <f>IF(E21="",G20,IF(F21="Ingreso",G20+E21,G20-E21))</f>
        <v/>
      </c>
      <c r="H21" s="1" t="n"/>
      <c r="I21" s="11">
        <f>'⚙️ Configuración'!B21</f>
        <v/>
      </c>
      <c r="J21" s="28">
        <f>'⚙️ Configuración'!C21</f>
        <v/>
      </c>
      <c r="K21" s="29">
        <f>SUMIF(D9:D48,I21,E9:E48)</f>
        <v/>
      </c>
      <c r="L21" s="30">
        <f>J21-K21</f>
        <v/>
      </c>
      <c r="M21" s="26">
        <f>IF(L21&gt;=0,"✅ OK","⚠️ Excedido")</f>
        <v/>
      </c>
      <c r="N21" s="1" t="n"/>
      <c r="O21" s="1" t="n"/>
      <c r="P21" s="1" t="n"/>
    </row>
    <row r="22" ht="16" customHeight="1">
      <c r="A22" s="1" t="n"/>
      <c r="B22" s="22" t="inlineStr"/>
      <c r="C22" s="23" t="inlineStr"/>
      <c r="D22" s="24" t="inlineStr"/>
      <c r="E22" s="25" t="inlineStr"/>
      <c r="F22" s="31" t="inlineStr">
        <is>
          <t>Gasto</t>
        </is>
      </c>
      <c r="G22" s="27">
        <f>IF(E22="",G21,IF(F22="Ingreso",G21+E22,G21-E22))</f>
        <v/>
      </c>
      <c r="H22" s="1" t="n"/>
      <c r="I22" s="11">
        <f>'⚙️ Configuración'!B22</f>
        <v/>
      </c>
      <c r="J22" s="28">
        <f>'⚙️ Configuración'!C22</f>
        <v/>
      </c>
      <c r="K22" s="29">
        <f>SUMIF(D9:D48,I22,E9:E48)</f>
        <v/>
      </c>
      <c r="L22" s="30">
        <f>J22-K22</f>
        <v/>
      </c>
      <c r="M22" s="26">
        <f>IF(L22&gt;=0,"✅ OK","⚠️ Excedido")</f>
        <v/>
      </c>
      <c r="N22" s="1" t="n"/>
      <c r="O22" s="1" t="n"/>
      <c r="P22" s="1" t="n"/>
    </row>
    <row r="23" ht="16" customHeight="1">
      <c r="A23" s="1" t="n"/>
      <c r="B23" s="22" t="inlineStr"/>
      <c r="C23" s="23" t="inlineStr"/>
      <c r="D23" s="24" t="inlineStr"/>
      <c r="E23" s="25" t="inlineStr"/>
      <c r="F23" s="31" t="inlineStr">
        <is>
          <t>Gasto</t>
        </is>
      </c>
      <c r="G23" s="27">
        <f>IF(E23="",G22,IF(F23="Ingreso",G22+E23,G22-E23))</f>
        <v/>
      </c>
      <c r="H23" s="1" t="n"/>
      <c r="I23" s="11">
        <f>'⚙️ Configuración'!B23</f>
        <v/>
      </c>
      <c r="J23" s="28">
        <f>'⚙️ Configuración'!C23</f>
        <v/>
      </c>
      <c r="K23" s="29">
        <f>SUMIF(D9:D48,I23,E9:E48)</f>
        <v/>
      </c>
      <c r="L23" s="30">
        <f>J23-K23</f>
        <v/>
      </c>
      <c r="M23" s="26">
        <f>IF(L23&gt;=0,"✅ OK","⚠️ Excedido")</f>
        <v/>
      </c>
      <c r="N23" s="1" t="n"/>
      <c r="O23" s="1" t="n"/>
      <c r="P23" s="1" t="n"/>
    </row>
    <row r="24" ht="16" customHeight="1">
      <c r="A24" s="1" t="n"/>
      <c r="B24" s="22" t="inlineStr"/>
      <c r="C24" s="23" t="inlineStr"/>
      <c r="D24" s="24" t="inlineStr"/>
      <c r="E24" s="25" t="inlineStr"/>
      <c r="F24" s="31" t="inlineStr">
        <is>
          <t>Gasto</t>
        </is>
      </c>
      <c r="G24" s="27">
        <f>IF(E24="",G23,IF(F24="Ingreso",G23+E24,G23-E24))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6" customHeight="1">
      <c r="A25" s="1" t="n"/>
      <c r="B25" s="22" t="inlineStr"/>
      <c r="C25" s="23" t="inlineStr"/>
      <c r="D25" s="24" t="inlineStr"/>
      <c r="E25" s="25" t="inlineStr"/>
      <c r="F25" s="31" t="inlineStr">
        <is>
          <t>Gasto</t>
        </is>
      </c>
      <c r="G25" s="27">
        <f>IF(E25="",G24,IF(F25="Ingreso",G24+E25,G24-E25))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6" customHeight="1">
      <c r="A26" s="1" t="n"/>
      <c r="B26" s="22" t="inlineStr"/>
      <c r="C26" s="23" t="inlineStr"/>
      <c r="D26" s="24" t="inlineStr"/>
      <c r="E26" s="25" t="inlineStr"/>
      <c r="F26" s="31" t="inlineStr">
        <is>
          <t>Gasto</t>
        </is>
      </c>
      <c r="G26" s="27">
        <f>IF(E26="",G25,IF(F26="Ingreso",G25+E26,G25-E26))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6" customHeight="1">
      <c r="A27" s="1" t="n"/>
      <c r="B27" s="22" t="inlineStr"/>
      <c r="C27" s="23" t="inlineStr"/>
      <c r="D27" s="24" t="inlineStr"/>
      <c r="E27" s="25" t="inlineStr"/>
      <c r="F27" s="31" t="inlineStr">
        <is>
          <t>Gasto</t>
        </is>
      </c>
      <c r="G27" s="27">
        <f>IF(E27="",G26,IF(F27="Ingreso",G26+E27,G26-E27))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6" customHeight="1">
      <c r="A28" s="1" t="n"/>
      <c r="B28" s="22" t="inlineStr"/>
      <c r="C28" s="23" t="inlineStr"/>
      <c r="D28" s="24" t="inlineStr"/>
      <c r="E28" s="25" t="inlineStr"/>
      <c r="F28" s="31" t="inlineStr">
        <is>
          <t>Gasto</t>
        </is>
      </c>
      <c r="G28" s="27">
        <f>IF(E28="",G27,IF(F28="Ingreso",G27+E28,G27-E28))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6" customHeight="1">
      <c r="A29" s="1" t="n"/>
      <c r="B29" s="22" t="inlineStr"/>
      <c r="C29" s="23" t="inlineStr"/>
      <c r="D29" s="24" t="inlineStr"/>
      <c r="E29" s="25" t="inlineStr"/>
      <c r="F29" s="31" t="inlineStr">
        <is>
          <t>Gasto</t>
        </is>
      </c>
      <c r="G29" s="27">
        <f>IF(E29="",G28,IF(F29="Ingreso",G28+E29,G28-E29))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6" customHeight="1">
      <c r="A30" s="1" t="n"/>
      <c r="B30" s="22" t="inlineStr"/>
      <c r="C30" s="23" t="inlineStr"/>
      <c r="D30" s="24" t="inlineStr"/>
      <c r="E30" s="25" t="inlineStr"/>
      <c r="F30" s="31" t="inlineStr">
        <is>
          <t>Gasto</t>
        </is>
      </c>
      <c r="G30" s="27">
        <f>IF(E30="",G29,IF(F30="Ingreso",G29+E30,G29-E30))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6" customHeight="1">
      <c r="A31" s="1" t="n"/>
      <c r="B31" s="22" t="inlineStr"/>
      <c r="C31" s="23" t="inlineStr"/>
      <c r="D31" s="24" t="inlineStr"/>
      <c r="E31" s="25" t="inlineStr"/>
      <c r="F31" s="31" t="inlineStr">
        <is>
          <t>Gasto</t>
        </is>
      </c>
      <c r="G31" s="27">
        <f>IF(E31="",G30,IF(F31="Ingreso",G30+E31,G30-E31))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6" customHeight="1">
      <c r="A32" s="1" t="n"/>
      <c r="B32" s="22" t="inlineStr"/>
      <c r="C32" s="23" t="inlineStr"/>
      <c r="D32" s="24" t="inlineStr"/>
      <c r="E32" s="25" t="inlineStr"/>
      <c r="F32" s="31" t="inlineStr">
        <is>
          <t>Gasto</t>
        </is>
      </c>
      <c r="G32" s="27">
        <f>IF(E32="",G31,IF(F32="Ingreso",G31+E32,G31-E32))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6" customHeight="1">
      <c r="A33" s="1" t="n"/>
      <c r="B33" s="22" t="inlineStr"/>
      <c r="C33" s="23" t="inlineStr"/>
      <c r="D33" s="24" t="inlineStr"/>
      <c r="E33" s="25" t="inlineStr"/>
      <c r="F33" s="31" t="inlineStr">
        <is>
          <t>Gasto</t>
        </is>
      </c>
      <c r="G33" s="27">
        <f>IF(E33="",G32,IF(F33="Ingreso",G32+E33,G32-E33))</f>
        <v/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6" customHeight="1">
      <c r="A34" s="1" t="n"/>
      <c r="B34" s="22" t="inlineStr"/>
      <c r="C34" s="23" t="inlineStr"/>
      <c r="D34" s="24" t="inlineStr"/>
      <c r="E34" s="25" t="inlineStr"/>
      <c r="F34" s="31" t="inlineStr">
        <is>
          <t>Gasto</t>
        </is>
      </c>
      <c r="G34" s="27">
        <f>IF(E34="",G33,IF(F34="Ingreso",G33+E34,G33-E34))</f>
        <v/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6" customHeight="1">
      <c r="A35" s="1" t="n"/>
      <c r="B35" s="22" t="inlineStr"/>
      <c r="C35" s="23" t="inlineStr"/>
      <c r="D35" s="24" t="inlineStr"/>
      <c r="E35" s="25" t="inlineStr"/>
      <c r="F35" s="31" t="inlineStr">
        <is>
          <t>Gasto</t>
        </is>
      </c>
      <c r="G35" s="27">
        <f>IF(E35="",G34,IF(F35="Ingreso",G34+E35,G34-E35))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6" customHeight="1">
      <c r="A36" s="1" t="n"/>
      <c r="B36" s="22" t="inlineStr"/>
      <c r="C36" s="23" t="inlineStr"/>
      <c r="D36" s="24" t="inlineStr"/>
      <c r="E36" s="25" t="inlineStr"/>
      <c r="F36" s="31" t="inlineStr">
        <is>
          <t>Gasto</t>
        </is>
      </c>
      <c r="G36" s="27">
        <f>IF(E36="",G35,IF(F36="Ingreso",G35+E36,G35-E36))</f>
        <v/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6" customHeight="1">
      <c r="A37" s="1" t="n"/>
      <c r="B37" s="22" t="inlineStr"/>
      <c r="C37" s="23" t="inlineStr"/>
      <c r="D37" s="24" t="inlineStr"/>
      <c r="E37" s="25" t="inlineStr"/>
      <c r="F37" s="31" t="inlineStr">
        <is>
          <t>Gasto</t>
        </is>
      </c>
      <c r="G37" s="27">
        <f>IF(E37="",G36,IF(F37="Ingreso",G36+E37,G36-E37))</f>
        <v/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6" customHeight="1">
      <c r="A38" s="1" t="n"/>
      <c r="B38" s="22" t="inlineStr"/>
      <c r="C38" s="23" t="inlineStr"/>
      <c r="D38" s="24" t="inlineStr"/>
      <c r="E38" s="25" t="inlineStr"/>
      <c r="F38" s="31" t="inlineStr">
        <is>
          <t>Gasto</t>
        </is>
      </c>
      <c r="G38" s="27">
        <f>IF(E38="",G37,IF(F38="Ingreso",G37+E38,G37-E38))</f>
        <v/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6" customHeight="1">
      <c r="A39" s="1" t="n"/>
      <c r="B39" s="22" t="inlineStr"/>
      <c r="C39" s="23" t="inlineStr"/>
      <c r="D39" s="24" t="inlineStr"/>
      <c r="E39" s="25" t="inlineStr"/>
      <c r="F39" s="31" t="inlineStr">
        <is>
          <t>Gasto</t>
        </is>
      </c>
      <c r="G39" s="27">
        <f>IF(E39="",G38,IF(F39="Ingreso",G38+E39,G38-E39))</f>
        <v/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6" customHeight="1">
      <c r="A40" s="1" t="n"/>
      <c r="B40" s="22" t="inlineStr"/>
      <c r="C40" s="23" t="inlineStr"/>
      <c r="D40" s="24" t="inlineStr"/>
      <c r="E40" s="25" t="inlineStr"/>
      <c r="F40" s="31" t="inlineStr">
        <is>
          <t>Gasto</t>
        </is>
      </c>
      <c r="G40" s="27">
        <f>IF(E40="",G39,IF(F40="Ingreso",G39+E40,G39-E40))</f>
        <v/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16" customHeight="1">
      <c r="A41" s="1" t="n"/>
      <c r="B41" s="22" t="inlineStr"/>
      <c r="C41" s="23" t="inlineStr"/>
      <c r="D41" s="24" t="inlineStr"/>
      <c r="E41" s="25" t="inlineStr"/>
      <c r="F41" s="31" t="inlineStr">
        <is>
          <t>Gasto</t>
        </is>
      </c>
      <c r="G41" s="27">
        <f>IF(E41="",G40,IF(F41="Ingreso",G40+E41,G40-E41))</f>
        <v/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6" customHeight="1">
      <c r="A42" s="1" t="n"/>
      <c r="B42" s="22" t="inlineStr"/>
      <c r="C42" s="23" t="inlineStr"/>
      <c r="D42" s="24" t="inlineStr"/>
      <c r="E42" s="25" t="inlineStr"/>
      <c r="F42" s="31" t="inlineStr">
        <is>
          <t>Gasto</t>
        </is>
      </c>
      <c r="G42" s="27">
        <f>IF(E42="",G41,IF(F42="Ingreso",G41+E42,G41-E42))</f>
        <v/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16" customHeight="1">
      <c r="A43" s="1" t="n"/>
      <c r="B43" s="22" t="inlineStr"/>
      <c r="C43" s="23" t="inlineStr"/>
      <c r="D43" s="24" t="inlineStr"/>
      <c r="E43" s="25" t="inlineStr"/>
      <c r="F43" s="31" t="inlineStr">
        <is>
          <t>Gasto</t>
        </is>
      </c>
      <c r="G43" s="27">
        <f>IF(E43="",G42,IF(F43="Ingreso",G42+E43,G42-E43))</f>
        <v/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6" customHeight="1">
      <c r="A44" s="1" t="n"/>
      <c r="B44" s="22" t="inlineStr"/>
      <c r="C44" s="23" t="inlineStr"/>
      <c r="D44" s="24" t="inlineStr"/>
      <c r="E44" s="25" t="inlineStr"/>
      <c r="F44" s="31" t="inlineStr">
        <is>
          <t>Gasto</t>
        </is>
      </c>
      <c r="G44" s="27">
        <f>IF(E44="",G43,IF(F44="Ingreso",G43+E44,G43-E44))</f>
        <v/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6" customHeight="1">
      <c r="A45" s="1" t="n"/>
      <c r="B45" s="22" t="inlineStr"/>
      <c r="C45" s="23" t="inlineStr"/>
      <c r="D45" s="24" t="inlineStr"/>
      <c r="E45" s="25" t="inlineStr"/>
      <c r="F45" s="31" t="inlineStr">
        <is>
          <t>Gasto</t>
        </is>
      </c>
      <c r="G45" s="27">
        <f>IF(E45="",G44,IF(F45="Ingreso",G44+E45,G44-E45))</f>
        <v/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6" customHeight="1">
      <c r="A46" s="1" t="n"/>
      <c r="B46" s="22" t="inlineStr"/>
      <c r="C46" s="23" t="inlineStr"/>
      <c r="D46" s="24" t="inlineStr"/>
      <c r="E46" s="25" t="inlineStr"/>
      <c r="F46" s="31" t="inlineStr">
        <is>
          <t>Gasto</t>
        </is>
      </c>
      <c r="G46" s="27">
        <f>IF(E46="",G45,IF(F46="Ingreso",G45+E46,G45-E46))</f>
        <v/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6" customHeight="1">
      <c r="A47" s="1" t="n"/>
      <c r="B47" s="22" t="inlineStr"/>
      <c r="C47" s="23" t="inlineStr"/>
      <c r="D47" s="24" t="inlineStr"/>
      <c r="E47" s="25" t="inlineStr"/>
      <c r="F47" s="31" t="inlineStr">
        <is>
          <t>Gasto</t>
        </is>
      </c>
      <c r="G47" s="27">
        <f>IF(E47="",G46,IF(F47="Ingreso",G46+E47,G46-E47))</f>
        <v/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6" customHeight="1">
      <c r="A48" s="1" t="n"/>
      <c r="B48" s="22" t="inlineStr"/>
      <c r="C48" s="23" t="inlineStr"/>
      <c r="D48" s="24" t="inlineStr"/>
      <c r="E48" s="25" t="inlineStr"/>
      <c r="F48" s="31" t="inlineStr">
        <is>
          <t>Gasto</t>
        </is>
      </c>
      <c r="G48" s="27">
        <f>IF(E48="",G47,IF(F48="Ingreso",G47+E48,G47-E48))</f>
        <v/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 ht="16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 ht="1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 ht="16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 ht="16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 ht="16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 ht="1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 ht="1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 ht="1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 ht="1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 ht="1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 ht="1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 ht="1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 ht="1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 ht="1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 ht="1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 ht="1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 ht="1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</sheetData>
  <mergeCells count="3">
    <mergeCell ref="I7:M7"/>
    <mergeCell ref="B2:G2"/>
    <mergeCell ref="B7:G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18" customWidth="1" min="4" max="4"/>
    <col width="14" customWidth="1" min="5" max="5"/>
    <col width="12" customWidth="1" min="6" max="6"/>
    <col width="14" customWidth="1" min="7" max="7"/>
    <col width="2" customWidth="1" min="8" max="8"/>
    <col width="26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38" t="inlineStr">
        <is>
          <t>MAYO  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6" customHeight="1">
      <c r="A4" s="1" t="n"/>
      <c r="B4" s="15" t="inlineStr">
        <is>
          <t>💰 INGRESOS</t>
        </is>
      </c>
      <c r="C4" s="15" t="inlineStr">
        <is>
          <t>💸 GASTOS</t>
        </is>
      </c>
      <c r="D4" s="15" t="inlineStr">
        <is>
          <t>💾 AHORRO</t>
        </is>
      </c>
      <c r="E4" s="15" t="inlineStr">
        <is>
          <t>% AHORRO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24" customHeight="1">
      <c r="A5" s="1" t="n"/>
      <c r="B5" s="16">
        <f>SUMIF(F8:F200,"Ingreso",E8:E200)</f>
        <v/>
      </c>
      <c r="C5" s="17">
        <f>SUMIF(F8:F200,"Gasto",E8:E200)</f>
        <v/>
      </c>
      <c r="D5" s="18">
        <f>SUMIF(F8:F200,"Ingreso",E8:E200)-SUMIF(F8:F200,"Gasto",E8:E200)</f>
        <v/>
      </c>
      <c r="E5" s="19">
        <f>IFERROR((SUMIF(F8:F200,"Ingreso",E8:E200)-SUMIF(F8:F200,"Gasto",E8:E200))/SUMIF(F8:F200,"Ingreso",E8:E200),0)</f>
        <v/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6" customHeight="1">
      <c r="A7" s="1" t="n"/>
      <c r="B7" s="39" t="inlineStr">
        <is>
          <t>📝  REGISTRO DE TRANSACCIONES</t>
        </is>
      </c>
      <c r="H7" s="1" t="n"/>
      <c r="I7" s="39" t="inlineStr">
        <is>
          <t>📊  PRESUPUESTO vs REAL</t>
        </is>
      </c>
      <c r="N7" s="1" t="n"/>
      <c r="O7" s="1" t="n"/>
      <c r="P7" s="1" t="n"/>
    </row>
    <row r="8" ht="16" customHeight="1">
      <c r="A8" s="1" t="n"/>
      <c r="B8" s="21" t="inlineStr">
        <is>
          <t>FECHA</t>
        </is>
      </c>
      <c r="C8" s="21" t="inlineStr">
        <is>
          <t>DESCRIPCIÓN</t>
        </is>
      </c>
      <c r="D8" s="21" t="inlineStr">
        <is>
          <t>CATEGORÍA</t>
        </is>
      </c>
      <c r="E8" s="21" t="inlineStr">
        <is>
          <t>MONTO</t>
        </is>
      </c>
      <c r="F8" s="21" t="inlineStr">
        <is>
          <t>TIPO</t>
        </is>
      </c>
      <c r="G8" s="21" t="inlineStr">
        <is>
          <t>ACUMULADO</t>
        </is>
      </c>
      <c r="H8" s="1" t="n"/>
      <c r="I8" s="21" t="inlineStr">
        <is>
          <t>CATEGORÍA</t>
        </is>
      </c>
      <c r="J8" s="21" t="inlineStr">
        <is>
          <t>PRESUPUESTO</t>
        </is>
      </c>
      <c r="K8" s="21" t="inlineStr">
        <is>
          <t>REAL</t>
        </is>
      </c>
      <c r="L8" s="21" t="inlineStr">
        <is>
          <t>DIFERENCIA</t>
        </is>
      </c>
      <c r="M8" s="21" t="inlineStr">
        <is>
          <t>ESTADO</t>
        </is>
      </c>
      <c r="N8" s="1" t="n"/>
      <c r="O8" s="1" t="n"/>
      <c r="P8" s="1" t="n"/>
    </row>
    <row r="9" ht="16" customHeight="1">
      <c r="A9" s="1" t="n"/>
      <c r="B9" s="22" t="inlineStr"/>
      <c r="C9" s="23" t="inlineStr"/>
      <c r="D9" s="24" t="inlineStr"/>
      <c r="E9" s="25" t="inlineStr"/>
      <c r="F9" s="26" t="inlineStr">
        <is>
          <t>Ingreso</t>
        </is>
      </c>
      <c r="G9" s="27">
        <f>IF(F9="Ingreso",E9,-E9)</f>
        <v/>
      </c>
      <c r="H9" s="1" t="n"/>
      <c r="I9" s="11">
        <f>'⚙️ Configuración'!B9</f>
        <v/>
      </c>
      <c r="J9" s="28">
        <f>'⚙️ Configuración'!C9</f>
        <v/>
      </c>
      <c r="K9" s="29">
        <f>SUMIF(D9:D48,I9,E9:E48)</f>
        <v/>
      </c>
      <c r="L9" s="30">
        <f>J9-K9</f>
        <v/>
      </c>
      <c r="M9" s="26">
        <f>IF(L9&gt;=0,"✅ OK","⚠️ Excedido")</f>
        <v/>
      </c>
      <c r="N9" s="1" t="n"/>
      <c r="O9" s="1" t="n"/>
      <c r="P9" s="1" t="n"/>
    </row>
    <row r="10" ht="16" customHeight="1">
      <c r="A10" s="1" t="n"/>
      <c r="B10" s="22" t="inlineStr"/>
      <c r="C10" s="23" t="inlineStr"/>
      <c r="D10" s="24" t="inlineStr"/>
      <c r="E10" s="25" t="inlineStr"/>
      <c r="F10" s="31" t="inlineStr">
        <is>
          <t>Gasto</t>
        </is>
      </c>
      <c r="G10" s="27">
        <f>IF(E10="",G9,IF(F10="Ingreso",G9+E10,G9-E10))</f>
        <v/>
      </c>
      <c r="H10" s="1" t="n"/>
      <c r="I10" s="11">
        <f>'⚙️ Configuración'!B10</f>
        <v/>
      </c>
      <c r="J10" s="28">
        <f>'⚙️ Configuración'!C10</f>
        <v/>
      </c>
      <c r="K10" s="29">
        <f>SUMIF(D9:D48,I10,E9:E48)</f>
        <v/>
      </c>
      <c r="L10" s="30">
        <f>J10-K10</f>
        <v/>
      </c>
      <c r="M10" s="26">
        <f>IF(L10&gt;=0,"✅ OK","⚠️ Excedido")</f>
        <v/>
      </c>
      <c r="N10" s="1" t="n"/>
      <c r="O10" s="1" t="n"/>
      <c r="P10" s="1" t="n"/>
    </row>
    <row r="11" ht="16" customHeight="1">
      <c r="A11" s="1" t="n"/>
      <c r="B11" s="22" t="inlineStr"/>
      <c r="C11" s="23" t="inlineStr"/>
      <c r="D11" s="24" t="inlineStr"/>
      <c r="E11" s="25" t="inlineStr"/>
      <c r="F11" s="31" t="inlineStr">
        <is>
          <t>Gasto</t>
        </is>
      </c>
      <c r="G11" s="27">
        <f>IF(E11="",G10,IF(F11="Ingreso",G10+E11,G10-E11))</f>
        <v/>
      </c>
      <c r="H11" s="1" t="n"/>
      <c r="I11" s="11">
        <f>'⚙️ Configuración'!B11</f>
        <v/>
      </c>
      <c r="J11" s="28">
        <f>'⚙️ Configuración'!C11</f>
        <v/>
      </c>
      <c r="K11" s="29">
        <f>SUMIF(D9:D48,I11,E9:E48)</f>
        <v/>
      </c>
      <c r="L11" s="30">
        <f>J11-K11</f>
        <v/>
      </c>
      <c r="M11" s="26">
        <f>IF(L11&gt;=0,"✅ OK","⚠️ Excedido")</f>
        <v/>
      </c>
      <c r="N11" s="1" t="n"/>
      <c r="O11" s="1" t="n"/>
      <c r="P11" s="1" t="n"/>
    </row>
    <row r="12" ht="16" customHeight="1">
      <c r="A12" s="1" t="n"/>
      <c r="B12" s="22" t="inlineStr"/>
      <c r="C12" s="23" t="inlineStr"/>
      <c r="D12" s="24" t="inlineStr"/>
      <c r="E12" s="25" t="inlineStr"/>
      <c r="F12" s="31" t="inlineStr">
        <is>
          <t>Gasto</t>
        </is>
      </c>
      <c r="G12" s="27">
        <f>IF(E12="",G11,IF(F12="Ingreso",G11+E12,G11-E12))</f>
        <v/>
      </c>
      <c r="H12" s="1" t="n"/>
      <c r="I12" s="11">
        <f>'⚙️ Configuración'!B12</f>
        <v/>
      </c>
      <c r="J12" s="28">
        <f>'⚙️ Configuración'!C12</f>
        <v/>
      </c>
      <c r="K12" s="29">
        <f>SUMIF(D9:D48,I12,E9:E48)</f>
        <v/>
      </c>
      <c r="L12" s="30">
        <f>J12-K12</f>
        <v/>
      </c>
      <c r="M12" s="26">
        <f>IF(L12&gt;=0,"✅ OK","⚠️ Excedido")</f>
        <v/>
      </c>
      <c r="N12" s="1" t="n"/>
      <c r="O12" s="1" t="n"/>
      <c r="P12" s="1" t="n"/>
    </row>
    <row r="13" ht="16" customHeight="1">
      <c r="A13" s="1" t="n"/>
      <c r="B13" s="22" t="inlineStr"/>
      <c r="C13" s="23" t="inlineStr"/>
      <c r="D13" s="24" t="inlineStr"/>
      <c r="E13" s="25" t="inlineStr"/>
      <c r="F13" s="31" t="inlineStr">
        <is>
          <t>Gasto</t>
        </is>
      </c>
      <c r="G13" s="27">
        <f>IF(E13="",G12,IF(F13="Ingreso",G12+E13,G12-E13))</f>
        <v/>
      </c>
      <c r="H13" s="1" t="n"/>
      <c r="I13" s="11">
        <f>'⚙️ Configuración'!B13</f>
        <v/>
      </c>
      <c r="J13" s="28">
        <f>'⚙️ Configuración'!C13</f>
        <v/>
      </c>
      <c r="K13" s="29">
        <f>SUMIF(D9:D48,I13,E9:E48)</f>
        <v/>
      </c>
      <c r="L13" s="30">
        <f>J13-K13</f>
        <v/>
      </c>
      <c r="M13" s="26">
        <f>IF(L13&gt;=0,"✅ OK","⚠️ Excedido")</f>
        <v/>
      </c>
      <c r="N13" s="1" t="n"/>
      <c r="O13" s="1" t="n"/>
      <c r="P13" s="1" t="n"/>
    </row>
    <row r="14" ht="16" customHeight="1">
      <c r="A14" s="1" t="n"/>
      <c r="B14" s="22" t="inlineStr"/>
      <c r="C14" s="23" t="inlineStr"/>
      <c r="D14" s="24" t="inlineStr"/>
      <c r="E14" s="25" t="inlineStr"/>
      <c r="F14" s="31" t="inlineStr">
        <is>
          <t>Gasto</t>
        </is>
      </c>
      <c r="G14" s="27">
        <f>IF(E14="",G13,IF(F14="Ingreso",G13+E14,G13-E14))</f>
        <v/>
      </c>
      <c r="H14" s="1" t="n"/>
      <c r="I14" s="11">
        <f>'⚙️ Configuración'!B14</f>
        <v/>
      </c>
      <c r="J14" s="28">
        <f>'⚙️ Configuración'!C14</f>
        <v/>
      </c>
      <c r="K14" s="29">
        <f>SUMIF(D9:D48,I14,E9:E48)</f>
        <v/>
      </c>
      <c r="L14" s="30">
        <f>J14-K14</f>
        <v/>
      </c>
      <c r="M14" s="26">
        <f>IF(L14&gt;=0,"✅ OK","⚠️ Excedido")</f>
        <v/>
      </c>
      <c r="N14" s="1" t="n"/>
      <c r="O14" s="1" t="n"/>
      <c r="P14" s="1" t="n"/>
    </row>
    <row r="15" ht="16" customHeight="1">
      <c r="A15" s="1" t="n"/>
      <c r="B15" s="22" t="inlineStr"/>
      <c r="C15" s="23" t="inlineStr"/>
      <c r="D15" s="24" t="inlineStr"/>
      <c r="E15" s="25" t="inlineStr"/>
      <c r="F15" s="31" t="inlineStr">
        <is>
          <t>Gasto</t>
        </is>
      </c>
      <c r="G15" s="27">
        <f>IF(E15="",G14,IF(F15="Ingreso",G14+E15,G14-E15))</f>
        <v/>
      </c>
      <c r="H15" s="1" t="n"/>
      <c r="I15" s="11">
        <f>'⚙️ Configuración'!B15</f>
        <v/>
      </c>
      <c r="J15" s="28">
        <f>'⚙️ Configuración'!C15</f>
        <v/>
      </c>
      <c r="K15" s="29">
        <f>SUMIF(D9:D48,I15,E9:E48)</f>
        <v/>
      </c>
      <c r="L15" s="30">
        <f>J15-K15</f>
        <v/>
      </c>
      <c r="M15" s="26">
        <f>IF(L15&gt;=0,"✅ OK","⚠️ Excedido")</f>
        <v/>
      </c>
      <c r="N15" s="1" t="n"/>
      <c r="O15" s="1" t="n"/>
      <c r="P15" s="1" t="n"/>
    </row>
    <row r="16" ht="16" customHeight="1">
      <c r="A16" s="1" t="n"/>
      <c r="B16" s="22" t="inlineStr"/>
      <c r="C16" s="23" t="inlineStr"/>
      <c r="D16" s="24" t="inlineStr"/>
      <c r="E16" s="25" t="inlineStr"/>
      <c r="F16" s="31" t="inlineStr">
        <is>
          <t>Gasto</t>
        </is>
      </c>
      <c r="G16" s="27">
        <f>IF(E16="",G15,IF(F16="Ingreso",G15+E16,G15-E16))</f>
        <v/>
      </c>
      <c r="H16" s="1" t="n"/>
      <c r="I16" s="11">
        <f>'⚙️ Configuración'!B16</f>
        <v/>
      </c>
      <c r="J16" s="28">
        <f>'⚙️ Configuración'!C16</f>
        <v/>
      </c>
      <c r="K16" s="29">
        <f>SUMIF(D9:D48,I16,E9:E48)</f>
        <v/>
      </c>
      <c r="L16" s="30">
        <f>J16-K16</f>
        <v/>
      </c>
      <c r="M16" s="26">
        <f>IF(L16&gt;=0,"✅ OK","⚠️ Excedido")</f>
        <v/>
      </c>
      <c r="N16" s="1" t="n"/>
      <c r="O16" s="1" t="n"/>
      <c r="P16" s="1" t="n"/>
    </row>
    <row r="17" ht="16" customHeight="1">
      <c r="A17" s="1" t="n"/>
      <c r="B17" s="22" t="inlineStr"/>
      <c r="C17" s="23" t="inlineStr"/>
      <c r="D17" s="24" t="inlineStr"/>
      <c r="E17" s="25" t="inlineStr"/>
      <c r="F17" s="31" t="inlineStr">
        <is>
          <t>Gasto</t>
        </is>
      </c>
      <c r="G17" s="27">
        <f>IF(E17="",G16,IF(F17="Ingreso",G16+E17,G16-E17))</f>
        <v/>
      </c>
      <c r="H17" s="1" t="n"/>
      <c r="I17" s="11">
        <f>'⚙️ Configuración'!B17</f>
        <v/>
      </c>
      <c r="J17" s="28">
        <f>'⚙️ Configuración'!C17</f>
        <v/>
      </c>
      <c r="K17" s="29">
        <f>SUMIF(D9:D48,I17,E9:E48)</f>
        <v/>
      </c>
      <c r="L17" s="30">
        <f>J17-K17</f>
        <v/>
      </c>
      <c r="M17" s="26">
        <f>IF(L17&gt;=0,"✅ OK","⚠️ Excedido")</f>
        <v/>
      </c>
      <c r="N17" s="1" t="n"/>
      <c r="O17" s="1" t="n"/>
      <c r="P17" s="1" t="n"/>
    </row>
    <row r="18" ht="16" customHeight="1">
      <c r="A18" s="1" t="n"/>
      <c r="B18" s="22" t="inlineStr"/>
      <c r="C18" s="23" t="inlineStr"/>
      <c r="D18" s="24" t="inlineStr"/>
      <c r="E18" s="25" t="inlineStr"/>
      <c r="F18" s="31" t="inlineStr">
        <is>
          <t>Gasto</t>
        </is>
      </c>
      <c r="G18" s="27">
        <f>IF(E18="",G17,IF(F18="Ingreso",G17+E18,G17-E18))</f>
        <v/>
      </c>
      <c r="H18" s="1" t="n"/>
      <c r="I18" s="11">
        <f>'⚙️ Configuración'!B18</f>
        <v/>
      </c>
      <c r="J18" s="28">
        <f>'⚙️ Configuración'!C18</f>
        <v/>
      </c>
      <c r="K18" s="29">
        <f>SUMIF(D9:D48,I18,E9:E48)</f>
        <v/>
      </c>
      <c r="L18" s="30">
        <f>J18-K18</f>
        <v/>
      </c>
      <c r="M18" s="26">
        <f>IF(L18&gt;=0,"✅ OK","⚠️ Excedido")</f>
        <v/>
      </c>
      <c r="N18" s="1" t="n"/>
      <c r="O18" s="1" t="n"/>
      <c r="P18" s="1" t="n"/>
    </row>
    <row r="19" ht="16" customHeight="1">
      <c r="A19" s="1" t="n"/>
      <c r="B19" s="22" t="inlineStr"/>
      <c r="C19" s="23" t="inlineStr"/>
      <c r="D19" s="24" t="inlineStr"/>
      <c r="E19" s="25" t="inlineStr"/>
      <c r="F19" s="31" t="inlineStr">
        <is>
          <t>Gasto</t>
        </is>
      </c>
      <c r="G19" s="27">
        <f>IF(E19="",G18,IF(F19="Ingreso",G18+E19,G18-E19))</f>
        <v/>
      </c>
      <c r="H19" s="1" t="n"/>
      <c r="I19" s="11">
        <f>'⚙️ Configuración'!B19</f>
        <v/>
      </c>
      <c r="J19" s="28">
        <f>'⚙️ Configuración'!C19</f>
        <v/>
      </c>
      <c r="K19" s="29">
        <f>SUMIF(D9:D48,I19,E9:E48)</f>
        <v/>
      </c>
      <c r="L19" s="30">
        <f>J19-K19</f>
        <v/>
      </c>
      <c r="M19" s="26">
        <f>IF(L19&gt;=0,"✅ OK","⚠️ Excedido")</f>
        <v/>
      </c>
      <c r="N19" s="1" t="n"/>
      <c r="O19" s="1" t="n"/>
      <c r="P19" s="1" t="n"/>
    </row>
    <row r="20" ht="16" customHeight="1">
      <c r="A20" s="1" t="n"/>
      <c r="B20" s="22" t="inlineStr"/>
      <c r="C20" s="23" t="inlineStr"/>
      <c r="D20" s="24" t="inlineStr"/>
      <c r="E20" s="25" t="inlineStr"/>
      <c r="F20" s="31" t="inlineStr">
        <is>
          <t>Gasto</t>
        </is>
      </c>
      <c r="G20" s="27">
        <f>IF(E20="",G19,IF(F20="Ingreso",G19+E20,G19-E20))</f>
        <v/>
      </c>
      <c r="H20" s="1" t="n"/>
      <c r="I20" s="11">
        <f>'⚙️ Configuración'!B20</f>
        <v/>
      </c>
      <c r="J20" s="28">
        <f>'⚙️ Configuración'!C20</f>
        <v/>
      </c>
      <c r="K20" s="29">
        <f>SUMIF(D9:D48,I20,E9:E48)</f>
        <v/>
      </c>
      <c r="L20" s="30">
        <f>J20-K20</f>
        <v/>
      </c>
      <c r="M20" s="26">
        <f>IF(L20&gt;=0,"✅ OK","⚠️ Excedido")</f>
        <v/>
      </c>
      <c r="N20" s="1" t="n"/>
      <c r="O20" s="1" t="n"/>
      <c r="P20" s="1" t="n"/>
    </row>
    <row r="21" ht="16" customHeight="1">
      <c r="A21" s="1" t="n"/>
      <c r="B21" s="22" t="inlineStr"/>
      <c r="C21" s="23" t="inlineStr"/>
      <c r="D21" s="24" t="inlineStr"/>
      <c r="E21" s="25" t="inlineStr"/>
      <c r="F21" s="31" t="inlineStr">
        <is>
          <t>Gasto</t>
        </is>
      </c>
      <c r="G21" s="27">
        <f>IF(E21="",G20,IF(F21="Ingreso",G20+E21,G20-E21))</f>
        <v/>
      </c>
      <c r="H21" s="1" t="n"/>
      <c r="I21" s="11">
        <f>'⚙️ Configuración'!B21</f>
        <v/>
      </c>
      <c r="J21" s="28">
        <f>'⚙️ Configuración'!C21</f>
        <v/>
      </c>
      <c r="K21" s="29">
        <f>SUMIF(D9:D48,I21,E9:E48)</f>
        <v/>
      </c>
      <c r="L21" s="30">
        <f>J21-K21</f>
        <v/>
      </c>
      <c r="M21" s="26">
        <f>IF(L21&gt;=0,"✅ OK","⚠️ Excedido")</f>
        <v/>
      </c>
      <c r="N21" s="1" t="n"/>
      <c r="O21" s="1" t="n"/>
      <c r="P21" s="1" t="n"/>
    </row>
    <row r="22" ht="16" customHeight="1">
      <c r="A22" s="1" t="n"/>
      <c r="B22" s="22" t="inlineStr"/>
      <c r="C22" s="23" t="inlineStr"/>
      <c r="D22" s="24" t="inlineStr"/>
      <c r="E22" s="25" t="inlineStr"/>
      <c r="F22" s="31" t="inlineStr">
        <is>
          <t>Gasto</t>
        </is>
      </c>
      <c r="G22" s="27">
        <f>IF(E22="",G21,IF(F22="Ingreso",G21+E22,G21-E22))</f>
        <v/>
      </c>
      <c r="H22" s="1" t="n"/>
      <c r="I22" s="11">
        <f>'⚙️ Configuración'!B22</f>
        <v/>
      </c>
      <c r="J22" s="28">
        <f>'⚙️ Configuración'!C22</f>
        <v/>
      </c>
      <c r="K22" s="29">
        <f>SUMIF(D9:D48,I22,E9:E48)</f>
        <v/>
      </c>
      <c r="L22" s="30">
        <f>J22-K22</f>
        <v/>
      </c>
      <c r="M22" s="26">
        <f>IF(L22&gt;=0,"✅ OK","⚠️ Excedido")</f>
        <v/>
      </c>
      <c r="N22" s="1" t="n"/>
      <c r="O22" s="1" t="n"/>
      <c r="P22" s="1" t="n"/>
    </row>
    <row r="23" ht="16" customHeight="1">
      <c r="A23" s="1" t="n"/>
      <c r="B23" s="22" t="inlineStr"/>
      <c r="C23" s="23" t="inlineStr"/>
      <c r="D23" s="24" t="inlineStr"/>
      <c r="E23" s="25" t="inlineStr"/>
      <c r="F23" s="31" t="inlineStr">
        <is>
          <t>Gasto</t>
        </is>
      </c>
      <c r="G23" s="27">
        <f>IF(E23="",G22,IF(F23="Ingreso",G22+E23,G22-E23))</f>
        <v/>
      </c>
      <c r="H23" s="1" t="n"/>
      <c r="I23" s="11">
        <f>'⚙️ Configuración'!B23</f>
        <v/>
      </c>
      <c r="J23" s="28">
        <f>'⚙️ Configuración'!C23</f>
        <v/>
      </c>
      <c r="K23" s="29">
        <f>SUMIF(D9:D48,I23,E9:E48)</f>
        <v/>
      </c>
      <c r="L23" s="30">
        <f>J23-K23</f>
        <v/>
      </c>
      <c r="M23" s="26">
        <f>IF(L23&gt;=0,"✅ OK","⚠️ Excedido")</f>
        <v/>
      </c>
      <c r="N23" s="1" t="n"/>
      <c r="O23" s="1" t="n"/>
      <c r="P23" s="1" t="n"/>
    </row>
    <row r="24" ht="16" customHeight="1">
      <c r="A24" s="1" t="n"/>
      <c r="B24" s="22" t="inlineStr"/>
      <c r="C24" s="23" t="inlineStr"/>
      <c r="D24" s="24" t="inlineStr"/>
      <c r="E24" s="25" t="inlineStr"/>
      <c r="F24" s="31" t="inlineStr">
        <is>
          <t>Gasto</t>
        </is>
      </c>
      <c r="G24" s="27">
        <f>IF(E24="",G23,IF(F24="Ingreso",G23+E24,G23-E24))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6" customHeight="1">
      <c r="A25" s="1" t="n"/>
      <c r="B25" s="22" t="inlineStr"/>
      <c r="C25" s="23" t="inlineStr"/>
      <c r="D25" s="24" t="inlineStr"/>
      <c r="E25" s="25" t="inlineStr"/>
      <c r="F25" s="31" t="inlineStr">
        <is>
          <t>Gasto</t>
        </is>
      </c>
      <c r="G25" s="27">
        <f>IF(E25="",G24,IF(F25="Ingreso",G24+E25,G24-E25))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6" customHeight="1">
      <c r="A26" s="1" t="n"/>
      <c r="B26" s="22" t="inlineStr"/>
      <c r="C26" s="23" t="inlineStr"/>
      <c r="D26" s="24" t="inlineStr"/>
      <c r="E26" s="25" t="inlineStr"/>
      <c r="F26" s="31" t="inlineStr">
        <is>
          <t>Gasto</t>
        </is>
      </c>
      <c r="G26" s="27">
        <f>IF(E26="",G25,IF(F26="Ingreso",G25+E26,G25-E26))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6" customHeight="1">
      <c r="A27" s="1" t="n"/>
      <c r="B27" s="22" t="inlineStr"/>
      <c r="C27" s="23" t="inlineStr"/>
      <c r="D27" s="24" t="inlineStr"/>
      <c r="E27" s="25" t="inlineStr"/>
      <c r="F27" s="31" t="inlineStr">
        <is>
          <t>Gasto</t>
        </is>
      </c>
      <c r="G27" s="27">
        <f>IF(E27="",G26,IF(F27="Ingreso",G26+E27,G26-E27))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6" customHeight="1">
      <c r="A28" s="1" t="n"/>
      <c r="B28" s="22" t="inlineStr"/>
      <c r="C28" s="23" t="inlineStr"/>
      <c r="D28" s="24" t="inlineStr"/>
      <c r="E28" s="25" t="inlineStr"/>
      <c r="F28" s="31" t="inlineStr">
        <is>
          <t>Gasto</t>
        </is>
      </c>
      <c r="G28" s="27">
        <f>IF(E28="",G27,IF(F28="Ingreso",G27+E28,G27-E28))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6" customHeight="1">
      <c r="A29" s="1" t="n"/>
      <c r="B29" s="22" t="inlineStr"/>
      <c r="C29" s="23" t="inlineStr"/>
      <c r="D29" s="24" t="inlineStr"/>
      <c r="E29" s="25" t="inlineStr"/>
      <c r="F29" s="31" t="inlineStr">
        <is>
          <t>Gasto</t>
        </is>
      </c>
      <c r="G29" s="27">
        <f>IF(E29="",G28,IF(F29="Ingreso",G28+E29,G28-E29))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6" customHeight="1">
      <c r="A30" s="1" t="n"/>
      <c r="B30" s="22" t="inlineStr"/>
      <c r="C30" s="23" t="inlineStr"/>
      <c r="D30" s="24" t="inlineStr"/>
      <c r="E30" s="25" t="inlineStr"/>
      <c r="F30" s="31" t="inlineStr">
        <is>
          <t>Gasto</t>
        </is>
      </c>
      <c r="G30" s="27">
        <f>IF(E30="",G29,IF(F30="Ingreso",G29+E30,G29-E30))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6" customHeight="1">
      <c r="A31" s="1" t="n"/>
      <c r="B31" s="22" t="inlineStr"/>
      <c r="C31" s="23" t="inlineStr"/>
      <c r="D31" s="24" t="inlineStr"/>
      <c r="E31" s="25" t="inlineStr"/>
      <c r="F31" s="31" t="inlineStr">
        <is>
          <t>Gasto</t>
        </is>
      </c>
      <c r="G31" s="27">
        <f>IF(E31="",G30,IF(F31="Ingreso",G30+E31,G30-E31))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6" customHeight="1">
      <c r="A32" s="1" t="n"/>
      <c r="B32" s="22" t="inlineStr"/>
      <c r="C32" s="23" t="inlineStr"/>
      <c r="D32" s="24" t="inlineStr"/>
      <c r="E32" s="25" t="inlineStr"/>
      <c r="F32" s="31" t="inlineStr">
        <is>
          <t>Gasto</t>
        </is>
      </c>
      <c r="G32" s="27">
        <f>IF(E32="",G31,IF(F32="Ingreso",G31+E32,G31-E32))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6" customHeight="1">
      <c r="A33" s="1" t="n"/>
      <c r="B33" s="22" t="inlineStr"/>
      <c r="C33" s="23" t="inlineStr"/>
      <c r="D33" s="24" t="inlineStr"/>
      <c r="E33" s="25" t="inlineStr"/>
      <c r="F33" s="31" t="inlineStr">
        <is>
          <t>Gasto</t>
        </is>
      </c>
      <c r="G33" s="27">
        <f>IF(E33="",G32,IF(F33="Ingreso",G32+E33,G32-E33))</f>
        <v/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6" customHeight="1">
      <c r="A34" s="1" t="n"/>
      <c r="B34" s="22" t="inlineStr"/>
      <c r="C34" s="23" t="inlineStr"/>
      <c r="D34" s="24" t="inlineStr"/>
      <c r="E34" s="25" t="inlineStr"/>
      <c r="F34" s="31" t="inlineStr">
        <is>
          <t>Gasto</t>
        </is>
      </c>
      <c r="G34" s="27">
        <f>IF(E34="",G33,IF(F34="Ingreso",G33+E34,G33-E34))</f>
        <v/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6" customHeight="1">
      <c r="A35" s="1" t="n"/>
      <c r="B35" s="22" t="inlineStr"/>
      <c r="C35" s="23" t="inlineStr"/>
      <c r="D35" s="24" t="inlineStr"/>
      <c r="E35" s="25" t="inlineStr"/>
      <c r="F35" s="31" t="inlineStr">
        <is>
          <t>Gasto</t>
        </is>
      </c>
      <c r="G35" s="27">
        <f>IF(E35="",G34,IF(F35="Ingreso",G34+E35,G34-E35))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6" customHeight="1">
      <c r="A36" s="1" t="n"/>
      <c r="B36" s="22" t="inlineStr"/>
      <c r="C36" s="23" t="inlineStr"/>
      <c r="D36" s="24" t="inlineStr"/>
      <c r="E36" s="25" t="inlineStr"/>
      <c r="F36" s="31" t="inlineStr">
        <is>
          <t>Gasto</t>
        </is>
      </c>
      <c r="G36" s="27">
        <f>IF(E36="",G35,IF(F36="Ingreso",G35+E36,G35-E36))</f>
        <v/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6" customHeight="1">
      <c r="A37" s="1" t="n"/>
      <c r="B37" s="22" t="inlineStr"/>
      <c r="C37" s="23" t="inlineStr"/>
      <c r="D37" s="24" t="inlineStr"/>
      <c r="E37" s="25" t="inlineStr"/>
      <c r="F37" s="31" t="inlineStr">
        <is>
          <t>Gasto</t>
        </is>
      </c>
      <c r="G37" s="27">
        <f>IF(E37="",G36,IF(F37="Ingreso",G36+E37,G36-E37))</f>
        <v/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6" customHeight="1">
      <c r="A38" s="1" t="n"/>
      <c r="B38" s="22" t="inlineStr"/>
      <c r="C38" s="23" t="inlineStr"/>
      <c r="D38" s="24" t="inlineStr"/>
      <c r="E38" s="25" t="inlineStr"/>
      <c r="F38" s="31" t="inlineStr">
        <is>
          <t>Gasto</t>
        </is>
      </c>
      <c r="G38" s="27">
        <f>IF(E38="",G37,IF(F38="Ingreso",G37+E38,G37-E38))</f>
        <v/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6" customHeight="1">
      <c r="A39" s="1" t="n"/>
      <c r="B39" s="22" t="inlineStr"/>
      <c r="C39" s="23" t="inlineStr"/>
      <c r="D39" s="24" t="inlineStr"/>
      <c r="E39" s="25" t="inlineStr"/>
      <c r="F39" s="31" t="inlineStr">
        <is>
          <t>Gasto</t>
        </is>
      </c>
      <c r="G39" s="27">
        <f>IF(E39="",G38,IF(F39="Ingreso",G38+E39,G38-E39))</f>
        <v/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6" customHeight="1">
      <c r="A40" s="1" t="n"/>
      <c r="B40" s="22" t="inlineStr"/>
      <c r="C40" s="23" t="inlineStr"/>
      <c r="D40" s="24" t="inlineStr"/>
      <c r="E40" s="25" t="inlineStr"/>
      <c r="F40" s="31" t="inlineStr">
        <is>
          <t>Gasto</t>
        </is>
      </c>
      <c r="G40" s="27">
        <f>IF(E40="",G39,IF(F40="Ingreso",G39+E40,G39-E40))</f>
        <v/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16" customHeight="1">
      <c r="A41" s="1" t="n"/>
      <c r="B41" s="22" t="inlineStr"/>
      <c r="C41" s="23" t="inlineStr"/>
      <c r="D41" s="24" t="inlineStr"/>
      <c r="E41" s="25" t="inlineStr"/>
      <c r="F41" s="31" t="inlineStr">
        <is>
          <t>Gasto</t>
        </is>
      </c>
      <c r="G41" s="27">
        <f>IF(E41="",G40,IF(F41="Ingreso",G40+E41,G40-E41))</f>
        <v/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6" customHeight="1">
      <c r="A42" s="1" t="n"/>
      <c r="B42" s="22" t="inlineStr"/>
      <c r="C42" s="23" t="inlineStr"/>
      <c r="D42" s="24" t="inlineStr"/>
      <c r="E42" s="25" t="inlineStr"/>
      <c r="F42" s="31" t="inlineStr">
        <is>
          <t>Gasto</t>
        </is>
      </c>
      <c r="G42" s="27">
        <f>IF(E42="",G41,IF(F42="Ingreso",G41+E42,G41-E42))</f>
        <v/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16" customHeight="1">
      <c r="A43" s="1" t="n"/>
      <c r="B43" s="22" t="inlineStr"/>
      <c r="C43" s="23" t="inlineStr"/>
      <c r="D43" s="24" t="inlineStr"/>
      <c r="E43" s="25" t="inlineStr"/>
      <c r="F43" s="31" t="inlineStr">
        <is>
          <t>Gasto</t>
        </is>
      </c>
      <c r="G43" s="27">
        <f>IF(E43="",G42,IF(F43="Ingreso",G42+E43,G42-E43))</f>
        <v/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6" customHeight="1">
      <c r="A44" s="1" t="n"/>
      <c r="B44" s="22" t="inlineStr"/>
      <c r="C44" s="23" t="inlineStr"/>
      <c r="D44" s="24" t="inlineStr"/>
      <c r="E44" s="25" t="inlineStr"/>
      <c r="F44" s="31" t="inlineStr">
        <is>
          <t>Gasto</t>
        </is>
      </c>
      <c r="G44" s="27">
        <f>IF(E44="",G43,IF(F44="Ingreso",G43+E44,G43-E44))</f>
        <v/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6" customHeight="1">
      <c r="A45" s="1" t="n"/>
      <c r="B45" s="22" t="inlineStr"/>
      <c r="C45" s="23" t="inlineStr"/>
      <c r="D45" s="24" t="inlineStr"/>
      <c r="E45" s="25" t="inlineStr"/>
      <c r="F45" s="31" t="inlineStr">
        <is>
          <t>Gasto</t>
        </is>
      </c>
      <c r="G45" s="27">
        <f>IF(E45="",G44,IF(F45="Ingreso",G44+E45,G44-E45))</f>
        <v/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6" customHeight="1">
      <c r="A46" s="1" t="n"/>
      <c r="B46" s="22" t="inlineStr"/>
      <c r="C46" s="23" t="inlineStr"/>
      <c r="D46" s="24" t="inlineStr"/>
      <c r="E46" s="25" t="inlineStr"/>
      <c r="F46" s="31" t="inlineStr">
        <is>
          <t>Gasto</t>
        </is>
      </c>
      <c r="G46" s="27">
        <f>IF(E46="",G45,IF(F46="Ingreso",G45+E46,G45-E46))</f>
        <v/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6" customHeight="1">
      <c r="A47" s="1" t="n"/>
      <c r="B47" s="22" t="inlineStr"/>
      <c r="C47" s="23" t="inlineStr"/>
      <c r="D47" s="24" t="inlineStr"/>
      <c r="E47" s="25" t="inlineStr"/>
      <c r="F47" s="31" t="inlineStr">
        <is>
          <t>Gasto</t>
        </is>
      </c>
      <c r="G47" s="27">
        <f>IF(E47="",G46,IF(F47="Ingreso",G46+E47,G46-E47))</f>
        <v/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6" customHeight="1">
      <c r="A48" s="1" t="n"/>
      <c r="B48" s="22" t="inlineStr"/>
      <c r="C48" s="23" t="inlineStr"/>
      <c r="D48" s="24" t="inlineStr"/>
      <c r="E48" s="25" t="inlineStr"/>
      <c r="F48" s="31" t="inlineStr">
        <is>
          <t>Gasto</t>
        </is>
      </c>
      <c r="G48" s="27">
        <f>IF(E48="",G47,IF(F48="Ingreso",G47+E48,G47-E48))</f>
        <v/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 ht="16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 ht="1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 ht="16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 ht="16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 ht="16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 ht="1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 ht="1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 ht="1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 ht="1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 ht="1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 ht="1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 ht="1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 ht="1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 ht="1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 ht="1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 ht="1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 ht="1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</sheetData>
  <mergeCells count="3">
    <mergeCell ref="I7:M7"/>
    <mergeCell ref="B2:G2"/>
    <mergeCell ref="B7:G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18" customWidth="1" min="4" max="4"/>
    <col width="14" customWidth="1" min="5" max="5"/>
    <col width="12" customWidth="1" min="6" max="6"/>
    <col width="14" customWidth="1" min="7" max="7"/>
    <col width="2" customWidth="1" min="8" max="8"/>
    <col width="26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40" t="inlineStr">
        <is>
          <t>JUNIO  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6" customHeight="1">
      <c r="A4" s="1" t="n"/>
      <c r="B4" s="15" t="inlineStr">
        <is>
          <t>💰 INGRESOS</t>
        </is>
      </c>
      <c r="C4" s="15" t="inlineStr">
        <is>
          <t>💸 GASTOS</t>
        </is>
      </c>
      <c r="D4" s="15" t="inlineStr">
        <is>
          <t>💾 AHORRO</t>
        </is>
      </c>
      <c r="E4" s="15" t="inlineStr">
        <is>
          <t>% AHORRO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24" customHeight="1">
      <c r="A5" s="1" t="n"/>
      <c r="B5" s="16">
        <f>SUMIF(F8:F200,"Ingreso",E8:E200)</f>
        <v/>
      </c>
      <c r="C5" s="17">
        <f>SUMIF(F8:F200,"Gasto",E8:E200)</f>
        <v/>
      </c>
      <c r="D5" s="18">
        <f>SUMIF(F8:F200,"Ingreso",E8:E200)-SUMIF(F8:F200,"Gasto",E8:E200)</f>
        <v/>
      </c>
      <c r="E5" s="19">
        <f>IFERROR((SUMIF(F8:F200,"Ingreso",E8:E200)-SUMIF(F8:F200,"Gasto",E8:E200))/SUMIF(F8:F200,"Ingreso",E8:E200),0)</f>
        <v/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6" customHeight="1">
      <c r="A7" s="1" t="n"/>
      <c r="B7" s="41" t="inlineStr">
        <is>
          <t>📝  REGISTRO DE TRANSACCIONES</t>
        </is>
      </c>
      <c r="H7" s="1" t="n"/>
      <c r="I7" s="41" t="inlineStr">
        <is>
          <t>📊  PRESUPUESTO vs REAL</t>
        </is>
      </c>
      <c r="N7" s="1" t="n"/>
      <c r="O7" s="1" t="n"/>
      <c r="P7" s="1" t="n"/>
    </row>
    <row r="8" ht="16" customHeight="1">
      <c r="A8" s="1" t="n"/>
      <c r="B8" s="21" t="inlineStr">
        <is>
          <t>FECHA</t>
        </is>
      </c>
      <c r="C8" s="21" t="inlineStr">
        <is>
          <t>DESCRIPCIÓN</t>
        </is>
      </c>
      <c r="D8" s="21" t="inlineStr">
        <is>
          <t>CATEGORÍA</t>
        </is>
      </c>
      <c r="E8" s="21" t="inlineStr">
        <is>
          <t>MONTO</t>
        </is>
      </c>
      <c r="F8" s="21" t="inlineStr">
        <is>
          <t>TIPO</t>
        </is>
      </c>
      <c r="G8" s="21" t="inlineStr">
        <is>
          <t>ACUMULADO</t>
        </is>
      </c>
      <c r="H8" s="1" t="n"/>
      <c r="I8" s="21" t="inlineStr">
        <is>
          <t>CATEGORÍA</t>
        </is>
      </c>
      <c r="J8" s="21" t="inlineStr">
        <is>
          <t>PRESUPUESTO</t>
        </is>
      </c>
      <c r="K8" s="21" t="inlineStr">
        <is>
          <t>REAL</t>
        </is>
      </c>
      <c r="L8" s="21" t="inlineStr">
        <is>
          <t>DIFERENCIA</t>
        </is>
      </c>
      <c r="M8" s="21" t="inlineStr">
        <is>
          <t>ESTADO</t>
        </is>
      </c>
      <c r="N8" s="1" t="n"/>
      <c r="O8" s="1" t="n"/>
      <c r="P8" s="1" t="n"/>
    </row>
    <row r="9" ht="16" customHeight="1">
      <c r="A9" s="1" t="n"/>
      <c r="B9" s="22" t="inlineStr"/>
      <c r="C9" s="23" t="inlineStr"/>
      <c r="D9" s="24" t="inlineStr"/>
      <c r="E9" s="25" t="inlineStr"/>
      <c r="F9" s="26" t="inlineStr">
        <is>
          <t>Ingreso</t>
        </is>
      </c>
      <c r="G9" s="27">
        <f>IF(F9="Ingreso",E9,-E9)</f>
        <v/>
      </c>
      <c r="H9" s="1" t="n"/>
      <c r="I9" s="11">
        <f>'⚙️ Configuración'!B9</f>
        <v/>
      </c>
      <c r="J9" s="28">
        <f>'⚙️ Configuración'!C9</f>
        <v/>
      </c>
      <c r="K9" s="29">
        <f>SUMIF(D9:D48,I9,E9:E48)</f>
        <v/>
      </c>
      <c r="L9" s="30">
        <f>J9-K9</f>
        <v/>
      </c>
      <c r="M9" s="26">
        <f>IF(L9&gt;=0,"✅ OK","⚠️ Excedido")</f>
        <v/>
      </c>
      <c r="N9" s="1" t="n"/>
      <c r="O9" s="1" t="n"/>
      <c r="P9" s="1" t="n"/>
    </row>
    <row r="10" ht="16" customHeight="1">
      <c r="A10" s="1" t="n"/>
      <c r="B10" s="22" t="inlineStr"/>
      <c r="C10" s="23" t="inlineStr"/>
      <c r="D10" s="24" t="inlineStr"/>
      <c r="E10" s="25" t="inlineStr"/>
      <c r="F10" s="31" t="inlineStr">
        <is>
          <t>Gasto</t>
        </is>
      </c>
      <c r="G10" s="27">
        <f>IF(E10="",G9,IF(F10="Ingreso",G9+E10,G9-E10))</f>
        <v/>
      </c>
      <c r="H10" s="1" t="n"/>
      <c r="I10" s="11">
        <f>'⚙️ Configuración'!B10</f>
        <v/>
      </c>
      <c r="J10" s="28">
        <f>'⚙️ Configuración'!C10</f>
        <v/>
      </c>
      <c r="K10" s="29">
        <f>SUMIF(D9:D48,I10,E9:E48)</f>
        <v/>
      </c>
      <c r="L10" s="30">
        <f>J10-K10</f>
        <v/>
      </c>
      <c r="M10" s="26">
        <f>IF(L10&gt;=0,"✅ OK","⚠️ Excedido")</f>
        <v/>
      </c>
      <c r="N10" s="1" t="n"/>
      <c r="O10" s="1" t="n"/>
      <c r="P10" s="1" t="n"/>
    </row>
    <row r="11" ht="16" customHeight="1">
      <c r="A11" s="1" t="n"/>
      <c r="B11" s="22" t="inlineStr"/>
      <c r="C11" s="23" t="inlineStr"/>
      <c r="D11" s="24" t="inlineStr"/>
      <c r="E11" s="25" t="inlineStr"/>
      <c r="F11" s="31" t="inlineStr">
        <is>
          <t>Gasto</t>
        </is>
      </c>
      <c r="G11" s="27">
        <f>IF(E11="",G10,IF(F11="Ingreso",G10+E11,G10-E11))</f>
        <v/>
      </c>
      <c r="H11" s="1" t="n"/>
      <c r="I11" s="11">
        <f>'⚙️ Configuración'!B11</f>
        <v/>
      </c>
      <c r="J11" s="28">
        <f>'⚙️ Configuración'!C11</f>
        <v/>
      </c>
      <c r="K11" s="29">
        <f>SUMIF(D9:D48,I11,E9:E48)</f>
        <v/>
      </c>
      <c r="L11" s="30">
        <f>J11-K11</f>
        <v/>
      </c>
      <c r="M11" s="26">
        <f>IF(L11&gt;=0,"✅ OK","⚠️ Excedido")</f>
        <v/>
      </c>
      <c r="N11" s="1" t="n"/>
      <c r="O11" s="1" t="n"/>
      <c r="P11" s="1" t="n"/>
    </row>
    <row r="12" ht="16" customHeight="1">
      <c r="A12" s="1" t="n"/>
      <c r="B12" s="22" t="inlineStr"/>
      <c r="C12" s="23" t="inlineStr"/>
      <c r="D12" s="24" t="inlineStr"/>
      <c r="E12" s="25" t="inlineStr"/>
      <c r="F12" s="31" t="inlineStr">
        <is>
          <t>Gasto</t>
        </is>
      </c>
      <c r="G12" s="27">
        <f>IF(E12="",G11,IF(F12="Ingreso",G11+E12,G11-E12))</f>
        <v/>
      </c>
      <c r="H12" s="1" t="n"/>
      <c r="I12" s="11">
        <f>'⚙️ Configuración'!B12</f>
        <v/>
      </c>
      <c r="J12" s="28">
        <f>'⚙️ Configuración'!C12</f>
        <v/>
      </c>
      <c r="K12" s="29">
        <f>SUMIF(D9:D48,I12,E9:E48)</f>
        <v/>
      </c>
      <c r="L12" s="30">
        <f>J12-K12</f>
        <v/>
      </c>
      <c r="M12" s="26">
        <f>IF(L12&gt;=0,"✅ OK","⚠️ Excedido")</f>
        <v/>
      </c>
      <c r="N12" s="1" t="n"/>
      <c r="O12" s="1" t="n"/>
      <c r="P12" s="1" t="n"/>
    </row>
    <row r="13" ht="16" customHeight="1">
      <c r="A13" s="1" t="n"/>
      <c r="B13" s="22" t="inlineStr"/>
      <c r="C13" s="23" t="inlineStr"/>
      <c r="D13" s="24" t="inlineStr"/>
      <c r="E13" s="25" t="inlineStr"/>
      <c r="F13" s="31" t="inlineStr">
        <is>
          <t>Gasto</t>
        </is>
      </c>
      <c r="G13" s="27">
        <f>IF(E13="",G12,IF(F13="Ingreso",G12+E13,G12-E13))</f>
        <v/>
      </c>
      <c r="H13" s="1" t="n"/>
      <c r="I13" s="11">
        <f>'⚙️ Configuración'!B13</f>
        <v/>
      </c>
      <c r="J13" s="28">
        <f>'⚙️ Configuración'!C13</f>
        <v/>
      </c>
      <c r="K13" s="29">
        <f>SUMIF(D9:D48,I13,E9:E48)</f>
        <v/>
      </c>
      <c r="L13" s="30">
        <f>J13-K13</f>
        <v/>
      </c>
      <c r="M13" s="26">
        <f>IF(L13&gt;=0,"✅ OK","⚠️ Excedido")</f>
        <v/>
      </c>
      <c r="N13" s="1" t="n"/>
      <c r="O13" s="1" t="n"/>
      <c r="P13" s="1" t="n"/>
    </row>
    <row r="14" ht="16" customHeight="1">
      <c r="A14" s="1" t="n"/>
      <c r="B14" s="22" t="inlineStr"/>
      <c r="C14" s="23" t="inlineStr"/>
      <c r="D14" s="24" t="inlineStr"/>
      <c r="E14" s="25" t="inlineStr"/>
      <c r="F14" s="31" t="inlineStr">
        <is>
          <t>Gasto</t>
        </is>
      </c>
      <c r="G14" s="27">
        <f>IF(E14="",G13,IF(F14="Ingreso",G13+E14,G13-E14))</f>
        <v/>
      </c>
      <c r="H14" s="1" t="n"/>
      <c r="I14" s="11">
        <f>'⚙️ Configuración'!B14</f>
        <v/>
      </c>
      <c r="J14" s="28">
        <f>'⚙️ Configuración'!C14</f>
        <v/>
      </c>
      <c r="K14" s="29">
        <f>SUMIF(D9:D48,I14,E9:E48)</f>
        <v/>
      </c>
      <c r="L14" s="30">
        <f>J14-K14</f>
        <v/>
      </c>
      <c r="M14" s="26">
        <f>IF(L14&gt;=0,"✅ OK","⚠️ Excedido")</f>
        <v/>
      </c>
      <c r="N14" s="1" t="n"/>
      <c r="O14" s="1" t="n"/>
      <c r="P14" s="1" t="n"/>
    </row>
    <row r="15" ht="16" customHeight="1">
      <c r="A15" s="1" t="n"/>
      <c r="B15" s="22" t="inlineStr"/>
      <c r="C15" s="23" t="inlineStr"/>
      <c r="D15" s="24" t="inlineStr"/>
      <c r="E15" s="25" t="inlineStr"/>
      <c r="F15" s="31" t="inlineStr">
        <is>
          <t>Gasto</t>
        </is>
      </c>
      <c r="G15" s="27">
        <f>IF(E15="",G14,IF(F15="Ingreso",G14+E15,G14-E15))</f>
        <v/>
      </c>
      <c r="H15" s="1" t="n"/>
      <c r="I15" s="11">
        <f>'⚙️ Configuración'!B15</f>
        <v/>
      </c>
      <c r="J15" s="28">
        <f>'⚙️ Configuración'!C15</f>
        <v/>
      </c>
      <c r="K15" s="29">
        <f>SUMIF(D9:D48,I15,E9:E48)</f>
        <v/>
      </c>
      <c r="L15" s="30">
        <f>J15-K15</f>
        <v/>
      </c>
      <c r="M15" s="26">
        <f>IF(L15&gt;=0,"✅ OK","⚠️ Excedido")</f>
        <v/>
      </c>
      <c r="N15" s="1" t="n"/>
      <c r="O15" s="1" t="n"/>
      <c r="P15" s="1" t="n"/>
    </row>
    <row r="16" ht="16" customHeight="1">
      <c r="A16" s="1" t="n"/>
      <c r="B16" s="22" t="inlineStr"/>
      <c r="C16" s="23" t="inlineStr"/>
      <c r="D16" s="24" t="inlineStr"/>
      <c r="E16" s="25" t="inlineStr"/>
      <c r="F16" s="31" t="inlineStr">
        <is>
          <t>Gasto</t>
        </is>
      </c>
      <c r="G16" s="27">
        <f>IF(E16="",G15,IF(F16="Ingreso",G15+E16,G15-E16))</f>
        <v/>
      </c>
      <c r="H16" s="1" t="n"/>
      <c r="I16" s="11">
        <f>'⚙️ Configuración'!B16</f>
        <v/>
      </c>
      <c r="J16" s="28">
        <f>'⚙️ Configuración'!C16</f>
        <v/>
      </c>
      <c r="K16" s="29">
        <f>SUMIF(D9:D48,I16,E9:E48)</f>
        <v/>
      </c>
      <c r="L16" s="30">
        <f>J16-K16</f>
        <v/>
      </c>
      <c r="M16" s="26">
        <f>IF(L16&gt;=0,"✅ OK","⚠️ Excedido")</f>
        <v/>
      </c>
      <c r="N16" s="1" t="n"/>
      <c r="O16" s="1" t="n"/>
      <c r="P16" s="1" t="n"/>
    </row>
    <row r="17" ht="16" customHeight="1">
      <c r="A17" s="1" t="n"/>
      <c r="B17" s="22" t="inlineStr"/>
      <c r="C17" s="23" t="inlineStr"/>
      <c r="D17" s="24" t="inlineStr"/>
      <c r="E17" s="25" t="inlineStr"/>
      <c r="F17" s="31" t="inlineStr">
        <is>
          <t>Gasto</t>
        </is>
      </c>
      <c r="G17" s="27">
        <f>IF(E17="",G16,IF(F17="Ingreso",G16+E17,G16-E17))</f>
        <v/>
      </c>
      <c r="H17" s="1" t="n"/>
      <c r="I17" s="11">
        <f>'⚙️ Configuración'!B17</f>
        <v/>
      </c>
      <c r="J17" s="28">
        <f>'⚙️ Configuración'!C17</f>
        <v/>
      </c>
      <c r="K17" s="29">
        <f>SUMIF(D9:D48,I17,E9:E48)</f>
        <v/>
      </c>
      <c r="L17" s="30">
        <f>J17-K17</f>
        <v/>
      </c>
      <c r="M17" s="26">
        <f>IF(L17&gt;=0,"✅ OK","⚠️ Excedido")</f>
        <v/>
      </c>
      <c r="N17" s="1" t="n"/>
      <c r="O17" s="1" t="n"/>
      <c r="P17" s="1" t="n"/>
    </row>
    <row r="18" ht="16" customHeight="1">
      <c r="A18" s="1" t="n"/>
      <c r="B18" s="22" t="inlineStr"/>
      <c r="C18" s="23" t="inlineStr"/>
      <c r="D18" s="24" t="inlineStr"/>
      <c r="E18" s="25" t="inlineStr"/>
      <c r="F18" s="31" t="inlineStr">
        <is>
          <t>Gasto</t>
        </is>
      </c>
      <c r="G18" s="27">
        <f>IF(E18="",G17,IF(F18="Ingreso",G17+E18,G17-E18))</f>
        <v/>
      </c>
      <c r="H18" s="1" t="n"/>
      <c r="I18" s="11">
        <f>'⚙️ Configuración'!B18</f>
        <v/>
      </c>
      <c r="J18" s="28">
        <f>'⚙️ Configuración'!C18</f>
        <v/>
      </c>
      <c r="K18" s="29">
        <f>SUMIF(D9:D48,I18,E9:E48)</f>
        <v/>
      </c>
      <c r="L18" s="30">
        <f>J18-K18</f>
        <v/>
      </c>
      <c r="M18" s="26">
        <f>IF(L18&gt;=0,"✅ OK","⚠️ Excedido")</f>
        <v/>
      </c>
      <c r="N18" s="1" t="n"/>
      <c r="O18" s="1" t="n"/>
      <c r="P18" s="1" t="n"/>
    </row>
    <row r="19" ht="16" customHeight="1">
      <c r="A19" s="1" t="n"/>
      <c r="B19" s="22" t="inlineStr"/>
      <c r="C19" s="23" t="inlineStr"/>
      <c r="D19" s="24" t="inlineStr"/>
      <c r="E19" s="25" t="inlineStr"/>
      <c r="F19" s="31" t="inlineStr">
        <is>
          <t>Gasto</t>
        </is>
      </c>
      <c r="G19" s="27">
        <f>IF(E19="",G18,IF(F19="Ingreso",G18+E19,G18-E19))</f>
        <v/>
      </c>
      <c r="H19" s="1" t="n"/>
      <c r="I19" s="11">
        <f>'⚙️ Configuración'!B19</f>
        <v/>
      </c>
      <c r="J19" s="28">
        <f>'⚙️ Configuración'!C19</f>
        <v/>
      </c>
      <c r="K19" s="29">
        <f>SUMIF(D9:D48,I19,E9:E48)</f>
        <v/>
      </c>
      <c r="L19" s="30">
        <f>J19-K19</f>
        <v/>
      </c>
      <c r="M19" s="26">
        <f>IF(L19&gt;=0,"✅ OK","⚠️ Excedido")</f>
        <v/>
      </c>
      <c r="N19" s="1" t="n"/>
      <c r="O19" s="1" t="n"/>
      <c r="P19" s="1" t="n"/>
    </row>
    <row r="20" ht="16" customHeight="1">
      <c r="A20" s="1" t="n"/>
      <c r="B20" s="22" t="inlineStr"/>
      <c r="C20" s="23" t="inlineStr"/>
      <c r="D20" s="24" t="inlineStr"/>
      <c r="E20" s="25" t="inlineStr"/>
      <c r="F20" s="31" t="inlineStr">
        <is>
          <t>Gasto</t>
        </is>
      </c>
      <c r="G20" s="27">
        <f>IF(E20="",G19,IF(F20="Ingreso",G19+E20,G19-E20))</f>
        <v/>
      </c>
      <c r="H20" s="1" t="n"/>
      <c r="I20" s="11">
        <f>'⚙️ Configuración'!B20</f>
        <v/>
      </c>
      <c r="J20" s="28">
        <f>'⚙️ Configuración'!C20</f>
        <v/>
      </c>
      <c r="K20" s="29">
        <f>SUMIF(D9:D48,I20,E9:E48)</f>
        <v/>
      </c>
      <c r="L20" s="30">
        <f>J20-K20</f>
        <v/>
      </c>
      <c r="M20" s="26">
        <f>IF(L20&gt;=0,"✅ OK","⚠️ Excedido")</f>
        <v/>
      </c>
      <c r="N20" s="1" t="n"/>
      <c r="O20" s="1" t="n"/>
      <c r="P20" s="1" t="n"/>
    </row>
    <row r="21" ht="16" customHeight="1">
      <c r="A21" s="1" t="n"/>
      <c r="B21" s="22" t="inlineStr"/>
      <c r="C21" s="23" t="inlineStr"/>
      <c r="D21" s="24" t="inlineStr"/>
      <c r="E21" s="25" t="inlineStr"/>
      <c r="F21" s="31" t="inlineStr">
        <is>
          <t>Gasto</t>
        </is>
      </c>
      <c r="G21" s="27">
        <f>IF(E21="",G20,IF(F21="Ingreso",G20+E21,G20-E21))</f>
        <v/>
      </c>
      <c r="H21" s="1" t="n"/>
      <c r="I21" s="11">
        <f>'⚙️ Configuración'!B21</f>
        <v/>
      </c>
      <c r="J21" s="28">
        <f>'⚙️ Configuración'!C21</f>
        <v/>
      </c>
      <c r="K21" s="29">
        <f>SUMIF(D9:D48,I21,E9:E48)</f>
        <v/>
      </c>
      <c r="L21" s="30">
        <f>J21-K21</f>
        <v/>
      </c>
      <c r="M21" s="26">
        <f>IF(L21&gt;=0,"✅ OK","⚠️ Excedido")</f>
        <v/>
      </c>
      <c r="N21" s="1" t="n"/>
      <c r="O21" s="1" t="n"/>
      <c r="P21" s="1" t="n"/>
    </row>
    <row r="22" ht="16" customHeight="1">
      <c r="A22" s="1" t="n"/>
      <c r="B22" s="22" t="inlineStr"/>
      <c r="C22" s="23" t="inlineStr"/>
      <c r="D22" s="24" t="inlineStr"/>
      <c r="E22" s="25" t="inlineStr"/>
      <c r="F22" s="31" t="inlineStr">
        <is>
          <t>Gasto</t>
        </is>
      </c>
      <c r="G22" s="27">
        <f>IF(E22="",G21,IF(F22="Ingreso",G21+E22,G21-E22))</f>
        <v/>
      </c>
      <c r="H22" s="1" t="n"/>
      <c r="I22" s="11">
        <f>'⚙️ Configuración'!B22</f>
        <v/>
      </c>
      <c r="J22" s="28">
        <f>'⚙️ Configuración'!C22</f>
        <v/>
      </c>
      <c r="K22" s="29">
        <f>SUMIF(D9:D48,I22,E9:E48)</f>
        <v/>
      </c>
      <c r="L22" s="30">
        <f>J22-K22</f>
        <v/>
      </c>
      <c r="M22" s="26">
        <f>IF(L22&gt;=0,"✅ OK","⚠️ Excedido")</f>
        <v/>
      </c>
      <c r="N22" s="1" t="n"/>
      <c r="O22" s="1" t="n"/>
      <c r="P22" s="1" t="n"/>
    </row>
    <row r="23" ht="16" customHeight="1">
      <c r="A23" s="1" t="n"/>
      <c r="B23" s="22" t="inlineStr"/>
      <c r="C23" s="23" t="inlineStr"/>
      <c r="D23" s="24" t="inlineStr"/>
      <c r="E23" s="25" t="inlineStr"/>
      <c r="F23" s="31" t="inlineStr">
        <is>
          <t>Gasto</t>
        </is>
      </c>
      <c r="G23" s="27">
        <f>IF(E23="",G22,IF(F23="Ingreso",G22+E23,G22-E23))</f>
        <v/>
      </c>
      <c r="H23" s="1" t="n"/>
      <c r="I23" s="11">
        <f>'⚙️ Configuración'!B23</f>
        <v/>
      </c>
      <c r="J23" s="28">
        <f>'⚙️ Configuración'!C23</f>
        <v/>
      </c>
      <c r="K23" s="29">
        <f>SUMIF(D9:D48,I23,E9:E48)</f>
        <v/>
      </c>
      <c r="L23" s="30">
        <f>J23-K23</f>
        <v/>
      </c>
      <c r="M23" s="26">
        <f>IF(L23&gt;=0,"✅ OK","⚠️ Excedido")</f>
        <v/>
      </c>
      <c r="N23" s="1" t="n"/>
      <c r="O23" s="1" t="n"/>
      <c r="P23" s="1" t="n"/>
    </row>
    <row r="24" ht="16" customHeight="1">
      <c r="A24" s="1" t="n"/>
      <c r="B24" s="22" t="inlineStr"/>
      <c r="C24" s="23" t="inlineStr"/>
      <c r="D24" s="24" t="inlineStr"/>
      <c r="E24" s="25" t="inlineStr"/>
      <c r="F24" s="31" t="inlineStr">
        <is>
          <t>Gasto</t>
        </is>
      </c>
      <c r="G24" s="27">
        <f>IF(E24="",G23,IF(F24="Ingreso",G23+E24,G23-E24))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6" customHeight="1">
      <c r="A25" s="1" t="n"/>
      <c r="B25" s="22" t="inlineStr"/>
      <c r="C25" s="23" t="inlineStr"/>
      <c r="D25" s="24" t="inlineStr"/>
      <c r="E25" s="25" t="inlineStr"/>
      <c r="F25" s="31" t="inlineStr">
        <is>
          <t>Gasto</t>
        </is>
      </c>
      <c r="G25" s="27">
        <f>IF(E25="",G24,IF(F25="Ingreso",G24+E25,G24-E25))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6" customHeight="1">
      <c r="A26" s="1" t="n"/>
      <c r="B26" s="22" t="inlineStr"/>
      <c r="C26" s="23" t="inlineStr"/>
      <c r="D26" s="24" t="inlineStr"/>
      <c r="E26" s="25" t="inlineStr"/>
      <c r="F26" s="31" t="inlineStr">
        <is>
          <t>Gasto</t>
        </is>
      </c>
      <c r="G26" s="27">
        <f>IF(E26="",G25,IF(F26="Ingreso",G25+E26,G25-E26))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6" customHeight="1">
      <c r="A27" s="1" t="n"/>
      <c r="B27" s="22" t="inlineStr"/>
      <c r="C27" s="23" t="inlineStr"/>
      <c r="D27" s="24" t="inlineStr"/>
      <c r="E27" s="25" t="inlineStr"/>
      <c r="F27" s="31" t="inlineStr">
        <is>
          <t>Gasto</t>
        </is>
      </c>
      <c r="G27" s="27">
        <f>IF(E27="",G26,IF(F27="Ingreso",G26+E27,G26-E27))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6" customHeight="1">
      <c r="A28" s="1" t="n"/>
      <c r="B28" s="22" t="inlineStr"/>
      <c r="C28" s="23" t="inlineStr"/>
      <c r="D28" s="24" t="inlineStr"/>
      <c r="E28" s="25" t="inlineStr"/>
      <c r="F28" s="31" t="inlineStr">
        <is>
          <t>Gasto</t>
        </is>
      </c>
      <c r="G28" s="27">
        <f>IF(E28="",G27,IF(F28="Ingreso",G27+E28,G27-E28))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6" customHeight="1">
      <c r="A29" s="1" t="n"/>
      <c r="B29" s="22" t="inlineStr"/>
      <c r="C29" s="23" t="inlineStr"/>
      <c r="D29" s="24" t="inlineStr"/>
      <c r="E29" s="25" t="inlineStr"/>
      <c r="F29" s="31" t="inlineStr">
        <is>
          <t>Gasto</t>
        </is>
      </c>
      <c r="G29" s="27">
        <f>IF(E29="",G28,IF(F29="Ingreso",G28+E29,G28-E29))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6" customHeight="1">
      <c r="A30" s="1" t="n"/>
      <c r="B30" s="22" t="inlineStr"/>
      <c r="C30" s="23" t="inlineStr"/>
      <c r="D30" s="24" t="inlineStr"/>
      <c r="E30" s="25" t="inlineStr"/>
      <c r="F30" s="31" t="inlineStr">
        <is>
          <t>Gasto</t>
        </is>
      </c>
      <c r="G30" s="27">
        <f>IF(E30="",G29,IF(F30="Ingreso",G29+E30,G29-E30))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6" customHeight="1">
      <c r="A31" s="1" t="n"/>
      <c r="B31" s="22" t="inlineStr"/>
      <c r="C31" s="23" t="inlineStr"/>
      <c r="D31" s="24" t="inlineStr"/>
      <c r="E31" s="25" t="inlineStr"/>
      <c r="F31" s="31" t="inlineStr">
        <is>
          <t>Gasto</t>
        </is>
      </c>
      <c r="G31" s="27">
        <f>IF(E31="",G30,IF(F31="Ingreso",G30+E31,G30-E31))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6" customHeight="1">
      <c r="A32" s="1" t="n"/>
      <c r="B32" s="22" t="inlineStr"/>
      <c r="C32" s="23" t="inlineStr"/>
      <c r="D32" s="24" t="inlineStr"/>
      <c r="E32" s="25" t="inlineStr"/>
      <c r="F32" s="31" t="inlineStr">
        <is>
          <t>Gasto</t>
        </is>
      </c>
      <c r="G32" s="27">
        <f>IF(E32="",G31,IF(F32="Ingreso",G31+E32,G31-E32))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6" customHeight="1">
      <c r="A33" s="1" t="n"/>
      <c r="B33" s="22" t="inlineStr"/>
      <c r="C33" s="23" t="inlineStr"/>
      <c r="D33" s="24" t="inlineStr"/>
      <c r="E33" s="25" t="inlineStr"/>
      <c r="F33" s="31" t="inlineStr">
        <is>
          <t>Gasto</t>
        </is>
      </c>
      <c r="G33" s="27">
        <f>IF(E33="",G32,IF(F33="Ingreso",G32+E33,G32-E33))</f>
        <v/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6" customHeight="1">
      <c r="A34" s="1" t="n"/>
      <c r="B34" s="22" t="inlineStr"/>
      <c r="C34" s="23" t="inlineStr"/>
      <c r="D34" s="24" t="inlineStr"/>
      <c r="E34" s="25" t="inlineStr"/>
      <c r="F34" s="31" t="inlineStr">
        <is>
          <t>Gasto</t>
        </is>
      </c>
      <c r="G34" s="27">
        <f>IF(E34="",G33,IF(F34="Ingreso",G33+E34,G33-E34))</f>
        <v/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6" customHeight="1">
      <c r="A35" s="1" t="n"/>
      <c r="B35" s="22" t="inlineStr"/>
      <c r="C35" s="23" t="inlineStr"/>
      <c r="D35" s="24" t="inlineStr"/>
      <c r="E35" s="25" t="inlineStr"/>
      <c r="F35" s="31" t="inlineStr">
        <is>
          <t>Gasto</t>
        </is>
      </c>
      <c r="G35" s="27">
        <f>IF(E35="",G34,IF(F35="Ingreso",G34+E35,G34-E35))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6" customHeight="1">
      <c r="A36" s="1" t="n"/>
      <c r="B36" s="22" t="inlineStr"/>
      <c r="C36" s="23" t="inlineStr"/>
      <c r="D36" s="24" t="inlineStr"/>
      <c r="E36" s="25" t="inlineStr"/>
      <c r="F36" s="31" t="inlineStr">
        <is>
          <t>Gasto</t>
        </is>
      </c>
      <c r="G36" s="27">
        <f>IF(E36="",G35,IF(F36="Ingreso",G35+E36,G35-E36))</f>
        <v/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6" customHeight="1">
      <c r="A37" s="1" t="n"/>
      <c r="B37" s="22" t="inlineStr"/>
      <c r="C37" s="23" t="inlineStr"/>
      <c r="D37" s="24" t="inlineStr"/>
      <c r="E37" s="25" t="inlineStr"/>
      <c r="F37" s="31" t="inlineStr">
        <is>
          <t>Gasto</t>
        </is>
      </c>
      <c r="G37" s="27">
        <f>IF(E37="",G36,IF(F37="Ingreso",G36+E37,G36-E37))</f>
        <v/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6" customHeight="1">
      <c r="A38" s="1" t="n"/>
      <c r="B38" s="22" t="inlineStr"/>
      <c r="C38" s="23" t="inlineStr"/>
      <c r="D38" s="24" t="inlineStr"/>
      <c r="E38" s="25" t="inlineStr"/>
      <c r="F38" s="31" t="inlineStr">
        <is>
          <t>Gasto</t>
        </is>
      </c>
      <c r="G38" s="27">
        <f>IF(E38="",G37,IF(F38="Ingreso",G37+E38,G37-E38))</f>
        <v/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6" customHeight="1">
      <c r="A39" s="1" t="n"/>
      <c r="B39" s="22" t="inlineStr"/>
      <c r="C39" s="23" t="inlineStr"/>
      <c r="D39" s="24" t="inlineStr"/>
      <c r="E39" s="25" t="inlineStr"/>
      <c r="F39" s="31" t="inlineStr">
        <is>
          <t>Gasto</t>
        </is>
      </c>
      <c r="G39" s="27">
        <f>IF(E39="",G38,IF(F39="Ingreso",G38+E39,G38-E39))</f>
        <v/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6" customHeight="1">
      <c r="A40" s="1" t="n"/>
      <c r="B40" s="22" t="inlineStr"/>
      <c r="C40" s="23" t="inlineStr"/>
      <c r="D40" s="24" t="inlineStr"/>
      <c r="E40" s="25" t="inlineStr"/>
      <c r="F40" s="31" t="inlineStr">
        <is>
          <t>Gasto</t>
        </is>
      </c>
      <c r="G40" s="27">
        <f>IF(E40="",G39,IF(F40="Ingreso",G39+E40,G39-E40))</f>
        <v/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16" customHeight="1">
      <c r="A41" s="1" t="n"/>
      <c r="B41" s="22" t="inlineStr"/>
      <c r="C41" s="23" t="inlineStr"/>
      <c r="D41" s="24" t="inlineStr"/>
      <c r="E41" s="25" t="inlineStr"/>
      <c r="F41" s="31" t="inlineStr">
        <is>
          <t>Gasto</t>
        </is>
      </c>
      <c r="G41" s="27">
        <f>IF(E41="",G40,IF(F41="Ingreso",G40+E41,G40-E41))</f>
        <v/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6" customHeight="1">
      <c r="A42" s="1" t="n"/>
      <c r="B42" s="22" t="inlineStr"/>
      <c r="C42" s="23" t="inlineStr"/>
      <c r="D42" s="24" t="inlineStr"/>
      <c r="E42" s="25" t="inlineStr"/>
      <c r="F42" s="31" t="inlineStr">
        <is>
          <t>Gasto</t>
        </is>
      </c>
      <c r="G42" s="27">
        <f>IF(E42="",G41,IF(F42="Ingreso",G41+E42,G41-E42))</f>
        <v/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16" customHeight="1">
      <c r="A43" s="1" t="n"/>
      <c r="B43" s="22" t="inlineStr"/>
      <c r="C43" s="23" t="inlineStr"/>
      <c r="D43" s="24" t="inlineStr"/>
      <c r="E43" s="25" t="inlineStr"/>
      <c r="F43" s="31" t="inlineStr">
        <is>
          <t>Gasto</t>
        </is>
      </c>
      <c r="G43" s="27">
        <f>IF(E43="",G42,IF(F43="Ingreso",G42+E43,G42-E43))</f>
        <v/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6" customHeight="1">
      <c r="A44" s="1" t="n"/>
      <c r="B44" s="22" t="inlineStr"/>
      <c r="C44" s="23" t="inlineStr"/>
      <c r="D44" s="24" t="inlineStr"/>
      <c r="E44" s="25" t="inlineStr"/>
      <c r="F44" s="31" t="inlineStr">
        <is>
          <t>Gasto</t>
        </is>
      </c>
      <c r="G44" s="27">
        <f>IF(E44="",G43,IF(F44="Ingreso",G43+E44,G43-E44))</f>
        <v/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6" customHeight="1">
      <c r="A45" s="1" t="n"/>
      <c r="B45" s="22" t="inlineStr"/>
      <c r="C45" s="23" t="inlineStr"/>
      <c r="D45" s="24" t="inlineStr"/>
      <c r="E45" s="25" t="inlineStr"/>
      <c r="F45" s="31" t="inlineStr">
        <is>
          <t>Gasto</t>
        </is>
      </c>
      <c r="G45" s="27">
        <f>IF(E45="",G44,IF(F45="Ingreso",G44+E45,G44-E45))</f>
        <v/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6" customHeight="1">
      <c r="A46" s="1" t="n"/>
      <c r="B46" s="22" t="inlineStr"/>
      <c r="C46" s="23" t="inlineStr"/>
      <c r="D46" s="24" t="inlineStr"/>
      <c r="E46" s="25" t="inlineStr"/>
      <c r="F46" s="31" t="inlineStr">
        <is>
          <t>Gasto</t>
        </is>
      </c>
      <c r="G46" s="27">
        <f>IF(E46="",G45,IF(F46="Ingreso",G45+E46,G45-E46))</f>
        <v/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6" customHeight="1">
      <c r="A47" s="1" t="n"/>
      <c r="B47" s="22" t="inlineStr"/>
      <c r="C47" s="23" t="inlineStr"/>
      <c r="D47" s="24" t="inlineStr"/>
      <c r="E47" s="25" t="inlineStr"/>
      <c r="F47" s="31" t="inlineStr">
        <is>
          <t>Gasto</t>
        </is>
      </c>
      <c r="G47" s="27">
        <f>IF(E47="",G46,IF(F47="Ingreso",G46+E47,G46-E47))</f>
        <v/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6" customHeight="1">
      <c r="A48" s="1" t="n"/>
      <c r="B48" s="22" t="inlineStr"/>
      <c r="C48" s="23" t="inlineStr"/>
      <c r="D48" s="24" t="inlineStr"/>
      <c r="E48" s="25" t="inlineStr"/>
      <c r="F48" s="31" t="inlineStr">
        <is>
          <t>Gasto</t>
        </is>
      </c>
      <c r="G48" s="27">
        <f>IF(E48="",G47,IF(F48="Ingreso",G47+E48,G47-E48))</f>
        <v/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 ht="16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 ht="1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 ht="16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 ht="16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 ht="16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 ht="1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 ht="1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 ht="1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 ht="1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 ht="1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 ht="1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 ht="1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 ht="1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 ht="1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 ht="1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 ht="1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 ht="1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</sheetData>
  <mergeCells count="3">
    <mergeCell ref="I7:M7"/>
    <mergeCell ref="B2:G2"/>
    <mergeCell ref="B7:G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18" customWidth="1" min="4" max="4"/>
    <col width="14" customWidth="1" min="5" max="5"/>
    <col width="12" customWidth="1" min="6" max="6"/>
    <col width="14" customWidth="1" min="7" max="7"/>
    <col width="2" customWidth="1" min="8" max="8"/>
    <col width="26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14" t="inlineStr">
        <is>
          <t>JULIO  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6" customHeight="1">
      <c r="A4" s="1" t="n"/>
      <c r="B4" s="15" t="inlineStr">
        <is>
          <t>💰 INGRESOS</t>
        </is>
      </c>
      <c r="C4" s="15" t="inlineStr">
        <is>
          <t>💸 GASTOS</t>
        </is>
      </c>
      <c r="D4" s="15" t="inlineStr">
        <is>
          <t>💾 AHORRO</t>
        </is>
      </c>
      <c r="E4" s="15" t="inlineStr">
        <is>
          <t>% AHORRO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24" customHeight="1">
      <c r="A5" s="1" t="n"/>
      <c r="B5" s="16">
        <f>SUMIF(F8:F200,"Ingreso",E8:E200)</f>
        <v/>
      </c>
      <c r="C5" s="17">
        <f>SUMIF(F8:F200,"Gasto",E8:E200)</f>
        <v/>
      </c>
      <c r="D5" s="18">
        <f>SUMIF(F8:F200,"Ingreso",E8:E200)-SUMIF(F8:F200,"Gasto",E8:E200)</f>
        <v/>
      </c>
      <c r="E5" s="19">
        <f>IFERROR((SUMIF(F8:F200,"Ingreso",E8:E200)-SUMIF(F8:F200,"Gasto",E8:E200))/SUMIF(F8:F200,"Ingreso",E8:E200),0)</f>
        <v/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6" customHeight="1">
      <c r="A7" s="1" t="n"/>
      <c r="B7" s="20" t="inlineStr">
        <is>
          <t>📝  REGISTRO DE TRANSACCIONES</t>
        </is>
      </c>
      <c r="H7" s="1" t="n"/>
      <c r="I7" s="20" t="inlineStr">
        <is>
          <t>📊  PRESUPUESTO vs REAL</t>
        </is>
      </c>
      <c r="N7" s="1" t="n"/>
      <c r="O7" s="1" t="n"/>
      <c r="P7" s="1" t="n"/>
    </row>
    <row r="8" ht="16" customHeight="1">
      <c r="A8" s="1" t="n"/>
      <c r="B8" s="21" t="inlineStr">
        <is>
          <t>FECHA</t>
        </is>
      </c>
      <c r="C8" s="21" t="inlineStr">
        <is>
          <t>DESCRIPCIÓN</t>
        </is>
      </c>
      <c r="D8" s="21" t="inlineStr">
        <is>
          <t>CATEGORÍA</t>
        </is>
      </c>
      <c r="E8" s="21" t="inlineStr">
        <is>
          <t>MONTO</t>
        </is>
      </c>
      <c r="F8" s="21" t="inlineStr">
        <is>
          <t>TIPO</t>
        </is>
      </c>
      <c r="G8" s="21" t="inlineStr">
        <is>
          <t>ACUMULADO</t>
        </is>
      </c>
      <c r="H8" s="1" t="n"/>
      <c r="I8" s="21" t="inlineStr">
        <is>
          <t>CATEGORÍA</t>
        </is>
      </c>
      <c r="J8" s="21" t="inlineStr">
        <is>
          <t>PRESUPUESTO</t>
        </is>
      </c>
      <c r="K8" s="21" t="inlineStr">
        <is>
          <t>REAL</t>
        </is>
      </c>
      <c r="L8" s="21" t="inlineStr">
        <is>
          <t>DIFERENCIA</t>
        </is>
      </c>
      <c r="M8" s="21" t="inlineStr">
        <is>
          <t>ESTADO</t>
        </is>
      </c>
      <c r="N8" s="1" t="n"/>
      <c r="O8" s="1" t="n"/>
      <c r="P8" s="1" t="n"/>
    </row>
    <row r="9" ht="16" customHeight="1">
      <c r="A9" s="1" t="n"/>
      <c r="B9" s="22" t="inlineStr"/>
      <c r="C9" s="23" t="inlineStr"/>
      <c r="D9" s="24" t="inlineStr"/>
      <c r="E9" s="25" t="inlineStr"/>
      <c r="F9" s="26" t="inlineStr">
        <is>
          <t>Ingreso</t>
        </is>
      </c>
      <c r="G9" s="27">
        <f>IF(F9="Ingreso",E9,-E9)</f>
        <v/>
      </c>
      <c r="H9" s="1" t="n"/>
      <c r="I9" s="11">
        <f>'⚙️ Configuración'!B9</f>
        <v/>
      </c>
      <c r="J9" s="28">
        <f>'⚙️ Configuración'!C9</f>
        <v/>
      </c>
      <c r="K9" s="29">
        <f>SUMIF(D9:D48,I9,E9:E48)</f>
        <v/>
      </c>
      <c r="L9" s="30">
        <f>J9-K9</f>
        <v/>
      </c>
      <c r="M9" s="26">
        <f>IF(L9&gt;=0,"✅ OK","⚠️ Excedido")</f>
        <v/>
      </c>
      <c r="N9" s="1" t="n"/>
      <c r="O9" s="1" t="n"/>
      <c r="P9" s="1" t="n"/>
    </row>
    <row r="10" ht="16" customHeight="1">
      <c r="A10" s="1" t="n"/>
      <c r="B10" s="22" t="inlineStr"/>
      <c r="C10" s="23" t="inlineStr"/>
      <c r="D10" s="24" t="inlineStr"/>
      <c r="E10" s="25" t="inlineStr"/>
      <c r="F10" s="31" t="inlineStr">
        <is>
          <t>Gasto</t>
        </is>
      </c>
      <c r="G10" s="27">
        <f>IF(E10="",G9,IF(F10="Ingreso",G9+E10,G9-E10))</f>
        <v/>
      </c>
      <c r="H10" s="1" t="n"/>
      <c r="I10" s="11">
        <f>'⚙️ Configuración'!B10</f>
        <v/>
      </c>
      <c r="J10" s="28">
        <f>'⚙️ Configuración'!C10</f>
        <v/>
      </c>
      <c r="K10" s="29">
        <f>SUMIF(D9:D48,I10,E9:E48)</f>
        <v/>
      </c>
      <c r="L10" s="30">
        <f>J10-K10</f>
        <v/>
      </c>
      <c r="M10" s="26">
        <f>IF(L10&gt;=0,"✅ OK","⚠️ Excedido")</f>
        <v/>
      </c>
      <c r="N10" s="1" t="n"/>
      <c r="O10" s="1" t="n"/>
      <c r="P10" s="1" t="n"/>
    </row>
    <row r="11" ht="16" customHeight="1">
      <c r="A11" s="1" t="n"/>
      <c r="B11" s="22" t="inlineStr"/>
      <c r="C11" s="23" t="inlineStr"/>
      <c r="D11" s="24" t="inlineStr"/>
      <c r="E11" s="25" t="inlineStr"/>
      <c r="F11" s="31" t="inlineStr">
        <is>
          <t>Gasto</t>
        </is>
      </c>
      <c r="G11" s="27">
        <f>IF(E11="",G10,IF(F11="Ingreso",G10+E11,G10-E11))</f>
        <v/>
      </c>
      <c r="H11" s="1" t="n"/>
      <c r="I11" s="11">
        <f>'⚙️ Configuración'!B11</f>
        <v/>
      </c>
      <c r="J11" s="28">
        <f>'⚙️ Configuración'!C11</f>
        <v/>
      </c>
      <c r="K11" s="29">
        <f>SUMIF(D9:D48,I11,E9:E48)</f>
        <v/>
      </c>
      <c r="L11" s="30">
        <f>J11-K11</f>
        <v/>
      </c>
      <c r="M11" s="26">
        <f>IF(L11&gt;=0,"✅ OK","⚠️ Excedido")</f>
        <v/>
      </c>
      <c r="N11" s="1" t="n"/>
      <c r="O11" s="1" t="n"/>
      <c r="P11" s="1" t="n"/>
    </row>
    <row r="12" ht="16" customHeight="1">
      <c r="A12" s="1" t="n"/>
      <c r="B12" s="22" t="inlineStr"/>
      <c r="C12" s="23" t="inlineStr"/>
      <c r="D12" s="24" t="inlineStr"/>
      <c r="E12" s="25" t="inlineStr"/>
      <c r="F12" s="31" t="inlineStr">
        <is>
          <t>Gasto</t>
        </is>
      </c>
      <c r="G12" s="27">
        <f>IF(E12="",G11,IF(F12="Ingreso",G11+E12,G11-E12))</f>
        <v/>
      </c>
      <c r="H12" s="1" t="n"/>
      <c r="I12" s="11">
        <f>'⚙️ Configuración'!B12</f>
        <v/>
      </c>
      <c r="J12" s="28">
        <f>'⚙️ Configuración'!C12</f>
        <v/>
      </c>
      <c r="K12" s="29">
        <f>SUMIF(D9:D48,I12,E9:E48)</f>
        <v/>
      </c>
      <c r="L12" s="30">
        <f>J12-K12</f>
        <v/>
      </c>
      <c r="M12" s="26">
        <f>IF(L12&gt;=0,"✅ OK","⚠️ Excedido")</f>
        <v/>
      </c>
      <c r="N12" s="1" t="n"/>
      <c r="O12" s="1" t="n"/>
      <c r="P12" s="1" t="n"/>
    </row>
    <row r="13" ht="16" customHeight="1">
      <c r="A13" s="1" t="n"/>
      <c r="B13" s="22" t="inlineStr"/>
      <c r="C13" s="23" t="inlineStr"/>
      <c r="D13" s="24" t="inlineStr"/>
      <c r="E13" s="25" t="inlineStr"/>
      <c r="F13" s="31" t="inlineStr">
        <is>
          <t>Gasto</t>
        </is>
      </c>
      <c r="G13" s="27">
        <f>IF(E13="",G12,IF(F13="Ingreso",G12+E13,G12-E13))</f>
        <v/>
      </c>
      <c r="H13" s="1" t="n"/>
      <c r="I13" s="11">
        <f>'⚙️ Configuración'!B13</f>
        <v/>
      </c>
      <c r="J13" s="28">
        <f>'⚙️ Configuración'!C13</f>
        <v/>
      </c>
      <c r="K13" s="29">
        <f>SUMIF(D9:D48,I13,E9:E48)</f>
        <v/>
      </c>
      <c r="L13" s="30">
        <f>J13-K13</f>
        <v/>
      </c>
      <c r="M13" s="26">
        <f>IF(L13&gt;=0,"✅ OK","⚠️ Excedido")</f>
        <v/>
      </c>
      <c r="N13" s="1" t="n"/>
      <c r="O13" s="1" t="n"/>
      <c r="P13" s="1" t="n"/>
    </row>
    <row r="14" ht="16" customHeight="1">
      <c r="A14" s="1" t="n"/>
      <c r="B14" s="22" t="inlineStr"/>
      <c r="C14" s="23" t="inlineStr"/>
      <c r="D14" s="24" t="inlineStr"/>
      <c r="E14" s="25" t="inlineStr"/>
      <c r="F14" s="31" t="inlineStr">
        <is>
          <t>Gasto</t>
        </is>
      </c>
      <c r="G14" s="27">
        <f>IF(E14="",G13,IF(F14="Ingreso",G13+E14,G13-E14))</f>
        <v/>
      </c>
      <c r="H14" s="1" t="n"/>
      <c r="I14" s="11">
        <f>'⚙️ Configuración'!B14</f>
        <v/>
      </c>
      <c r="J14" s="28">
        <f>'⚙️ Configuración'!C14</f>
        <v/>
      </c>
      <c r="K14" s="29">
        <f>SUMIF(D9:D48,I14,E9:E48)</f>
        <v/>
      </c>
      <c r="L14" s="30">
        <f>J14-K14</f>
        <v/>
      </c>
      <c r="M14" s="26">
        <f>IF(L14&gt;=0,"✅ OK","⚠️ Excedido")</f>
        <v/>
      </c>
      <c r="N14" s="1" t="n"/>
      <c r="O14" s="1" t="n"/>
      <c r="P14" s="1" t="n"/>
    </row>
    <row r="15" ht="16" customHeight="1">
      <c r="A15" s="1" t="n"/>
      <c r="B15" s="22" t="inlineStr"/>
      <c r="C15" s="23" t="inlineStr"/>
      <c r="D15" s="24" t="inlineStr"/>
      <c r="E15" s="25" t="inlineStr"/>
      <c r="F15" s="31" t="inlineStr">
        <is>
          <t>Gasto</t>
        </is>
      </c>
      <c r="G15" s="27">
        <f>IF(E15="",G14,IF(F15="Ingreso",G14+E15,G14-E15))</f>
        <v/>
      </c>
      <c r="H15" s="1" t="n"/>
      <c r="I15" s="11">
        <f>'⚙️ Configuración'!B15</f>
        <v/>
      </c>
      <c r="J15" s="28">
        <f>'⚙️ Configuración'!C15</f>
        <v/>
      </c>
      <c r="K15" s="29">
        <f>SUMIF(D9:D48,I15,E9:E48)</f>
        <v/>
      </c>
      <c r="L15" s="30">
        <f>J15-K15</f>
        <v/>
      </c>
      <c r="M15" s="26">
        <f>IF(L15&gt;=0,"✅ OK","⚠️ Excedido")</f>
        <v/>
      </c>
      <c r="N15" s="1" t="n"/>
      <c r="O15" s="1" t="n"/>
      <c r="P15" s="1" t="n"/>
    </row>
    <row r="16" ht="16" customHeight="1">
      <c r="A16" s="1" t="n"/>
      <c r="B16" s="22" t="inlineStr"/>
      <c r="C16" s="23" t="inlineStr"/>
      <c r="D16" s="24" t="inlineStr"/>
      <c r="E16" s="25" t="inlineStr"/>
      <c r="F16" s="31" t="inlineStr">
        <is>
          <t>Gasto</t>
        </is>
      </c>
      <c r="G16" s="27">
        <f>IF(E16="",G15,IF(F16="Ingreso",G15+E16,G15-E16))</f>
        <v/>
      </c>
      <c r="H16" s="1" t="n"/>
      <c r="I16" s="11">
        <f>'⚙️ Configuración'!B16</f>
        <v/>
      </c>
      <c r="J16" s="28">
        <f>'⚙️ Configuración'!C16</f>
        <v/>
      </c>
      <c r="K16" s="29">
        <f>SUMIF(D9:D48,I16,E9:E48)</f>
        <v/>
      </c>
      <c r="L16" s="30">
        <f>J16-K16</f>
        <v/>
      </c>
      <c r="M16" s="26">
        <f>IF(L16&gt;=0,"✅ OK","⚠️ Excedido")</f>
        <v/>
      </c>
      <c r="N16" s="1" t="n"/>
      <c r="O16" s="1" t="n"/>
      <c r="P16" s="1" t="n"/>
    </row>
    <row r="17" ht="16" customHeight="1">
      <c r="A17" s="1" t="n"/>
      <c r="B17" s="22" t="inlineStr"/>
      <c r="C17" s="23" t="inlineStr"/>
      <c r="D17" s="24" t="inlineStr"/>
      <c r="E17" s="25" t="inlineStr"/>
      <c r="F17" s="31" t="inlineStr">
        <is>
          <t>Gasto</t>
        </is>
      </c>
      <c r="G17" s="27">
        <f>IF(E17="",G16,IF(F17="Ingreso",G16+E17,G16-E17))</f>
        <v/>
      </c>
      <c r="H17" s="1" t="n"/>
      <c r="I17" s="11">
        <f>'⚙️ Configuración'!B17</f>
        <v/>
      </c>
      <c r="J17" s="28">
        <f>'⚙️ Configuración'!C17</f>
        <v/>
      </c>
      <c r="K17" s="29">
        <f>SUMIF(D9:D48,I17,E9:E48)</f>
        <v/>
      </c>
      <c r="L17" s="30">
        <f>J17-K17</f>
        <v/>
      </c>
      <c r="M17" s="26">
        <f>IF(L17&gt;=0,"✅ OK","⚠️ Excedido")</f>
        <v/>
      </c>
      <c r="N17" s="1" t="n"/>
      <c r="O17" s="1" t="n"/>
      <c r="P17" s="1" t="n"/>
    </row>
    <row r="18" ht="16" customHeight="1">
      <c r="A18" s="1" t="n"/>
      <c r="B18" s="22" t="inlineStr"/>
      <c r="C18" s="23" t="inlineStr"/>
      <c r="D18" s="24" t="inlineStr"/>
      <c r="E18" s="25" t="inlineStr"/>
      <c r="F18" s="31" t="inlineStr">
        <is>
          <t>Gasto</t>
        </is>
      </c>
      <c r="G18" s="27">
        <f>IF(E18="",G17,IF(F18="Ingreso",G17+E18,G17-E18))</f>
        <v/>
      </c>
      <c r="H18" s="1" t="n"/>
      <c r="I18" s="11">
        <f>'⚙️ Configuración'!B18</f>
        <v/>
      </c>
      <c r="J18" s="28">
        <f>'⚙️ Configuración'!C18</f>
        <v/>
      </c>
      <c r="K18" s="29">
        <f>SUMIF(D9:D48,I18,E9:E48)</f>
        <v/>
      </c>
      <c r="L18" s="30">
        <f>J18-K18</f>
        <v/>
      </c>
      <c r="M18" s="26">
        <f>IF(L18&gt;=0,"✅ OK","⚠️ Excedido")</f>
        <v/>
      </c>
      <c r="N18" s="1" t="n"/>
      <c r="O18" s="1" t="n"/>
      <c r="P18" s="1" t="n"/>
    </row>
    <row r="19" ht="16" customHeight="1">
      <c r="A19" s="1" t="n"/>
      <c r="B19" s="22" t="inlineStr"/>
      <c r="C19" s="23" t="inlineStr"/>
      <c r="D19" s="24" t="inlineStr"/>
      <c r="E19" s="25" t="inlineStr"/>
      <c r="F19" s="31" t="inlineStr">
        <is>
          <t>Gasto</t>
        </is>
      </c>
      <c r="G19" s="27">
        <f>IF(E19="",G18,IF(F19="Ingreso",G18+E19,G18-E19))</f>
        <v/>
      </c>
      <c r="H19" s="1" t="n"/>
      <c r="I19" s="11">
        <f>'⚙️ Configuración'!B19</f>
        <v/>
      </c>
      <c r="J19" s="28">
        <f>'⚙️ Configuración'!C19</f>
        <v/>
      </c>
      <c r="K19" s="29">
        <f>SUMIF(D9:D48,I19,E9:E48)</f>
        <v/>
      </c>
      <c r="L19" s="30">
        <f>J19-K19</f>
        <v/>
      </c>
      <c r="M19" s="26">
        <f>IF(L19&gt;=0,"✅ OK","⚠️ Excedido")</f>
        <v/>
      </c>
      <c r="N19" s="1" t="n"/>
      <c r="O19" s="1" t="n"/>
      <c r="P19" s="1" t="n"/>
    </row>
    <row r="20" ht="16" customHeight="1">
      <c r="A20" s="1" t="n"/>
      <c r="B20" s="22" t="inlineStr"/>
      <c r="C20" s="23" t="inlineStr"/>
      <c r="D20" s="24" t="inlineStr"/>
      <c r="E20" s="25" t="inlineStr"/>
      <c r="F20" s="31" t="inlineStr">
        <is>
          <t>Gasto</t>
        </is>
      </c>
      <c r="G20" s="27">
        <f>IF(E20="",G19,IF(F20="Ingreso",G19+E20,G19-E20))</f>
        <v/>
      </c>
      <c r="H20" s="1" t="n"/>
      <c r="I20" s="11">
        <f>'⚙️ Configuración'!B20</f>
        <v/>
      </c>
      <c r="J20" s="28">
        <f>'⚙️ Configuración'!C20</f>
        <v/>
      </c>
      <c r="K20" s="29">
        <f>SUMIF(D9:D48,I20,E9:E48)</f>
        <v/>
      </c>
      <c r="L20" s="30">
        <f>J20-K20</f>
        <v/>
      </c>
      <c r="M20" s="26">
        <f>IF(L20&gt;=0,"✅ OK","⚠️ Excedido")</f>
        <v/>
      </c>
      <c r="N20" s="1" t="n"/>
      <c r="O20" s="1" t="n"/>
      <c r="P20" s="1" t="n"/>
    </row>
    <row r="21" ht="16" customHeight="1">
      <c r="A21" s="1" t="n"/>
      <c r="B21" s="22" t="inlineStr"/>
      <c r="C21" s="23" t="inlineStr"/>
      <c r="D21" s="24" t="inlineStr"/>
      <c r="E21" s="25" t="inlineStr"/>
      <c r="F21" s="31" t="inlineStr">
        <is>
          <t>Gasto</t>
        </is>
      </c>
      <c r="G21" s="27">
        <f>IF(E21="",G20,IF(F21="Ingreso",G20+E21,G20-E21))</f>
        <v/>
      </c>
      <c r="H21" s="1" t="n"/>
      <c r="I21" s="11">
        <f>'⚙️ Configuración'!B21</f>
        <v/>
      </c>
      <c r="J21" s="28">
        <f>'⚙️ Configuración'!C21</f>
        <v/>
      </c>
      <c r="K21" s="29">
        <f>SUMIF(D9:D48,I21,E9:E48)</f>
        <v/>
      </c>
      <c r="L21" s="30">
        <f>J21-K21</f>
        <v/>
      </c>
      <c r="M21" s="26">
        <f>IF(L21&gt;=0,"✅ OK","⚠️ Excedido")</f>
        <v/>
      </c>
      <c r="N21" s="1" t="n"/>
      <c r="O21" s="1" t="n"/>
      <c r="P21" s="1" t="n"/>
    </row>
    <row r="22" ht="16" customHeight="1">
      <c r="A22" s="1" t="n"/>
      <c r="B22" s="22" t="inlineStr"/>
      <c r="C22" s="23" t="inlineStr"/>
      <c r="D22" s="24" t="inlineStr"/>
      <c r="E22" s="25" t="inlineStr"/>
      <c r="F22" s="31" t="inlineStr">
        <is>
          <t>Gasto</t>
        </is>
      </c>
      <c r="G22" s="27">
        <f>IF(E22="",G21,IF(F22="Ingreso",G21+E22,G21-E22))</f>
        <v/>
      </c>
      <c r="H22" s="1" t="n"/>
      <c r="I22" s="11">
        <f>'⚙️ Configuración'!B22</f>
        <v/>
      </c>
      <c r="J22" s="28">
        <f>'⚙️ Configuración'!C22</f>
        <v/>
      </c>
      <c r="K22" s="29">
        <f>SUMIF(D9:D48,I22,E9:E48)</f>
        <v/>
      </c>
      <c r="L22" s="30">
        <f>J22-K22</f>
        <v/>
      </c>
      <c r="M22" s="26">
        <f>IF(L22&gt;=0,"✅ OK","⚠️ Excedido")</f>
        <v/>
      </c>
      <c r="N22" s="1" t="n"/>
      <c r="O22" s="1" t="n"/>
      <c r="P22" s="1" t="n"/>
    </row>
    <row r="23" ht="16" customHeight="1">
      <c r="A23" s="1" t="n"/>
      <c r="B23" s="22" t="inlineStr"/>
      <c r="C23" s="23" t="inlineStr"/>
      <c r="D23" s="24" t="inlineStr"/>
      <c r="E23" s="25" t="inlineStr"/>
      <c r="F23" s="31" t="inlineStr">
        <is>
          <t>Gasto</t>
        </is>
      </c>
      <c r="G23" s="27">
        <f>IF(E23="",G22,IF(F23="Ingreso",G22+E23,G22-E23))</f>
        <v/>
      </c>
      <c r="H23" s="1" t="n"/>
      <c r="I23" s="11">
        <f>'⚙️ Configuración'!B23</f>
        <v/>
      </c>
      <c r="J23" s="28">
        <f>'⚙️ Configuración'!C23</f>
        <v/>
      </c>
      <c r="K23" s="29">
        <f>SUMIF(D9:D48,I23,E9:E48)</f>
        <v/>
      </c>
      <c r="L23" s="30">
        <f>J23-K23</f>
        <v/>
      </c>
      <c r="M23" s="26">
        <f>IF(L23&gt;=0,"✅ OK","⚠️ Excedido")</f>
        <v/>
      </c>
      <c r="N23" s="1" t="n"/>
      <c r="O23" s="1" t="n"/>
      <c r="P23" s="1" t="n"/>
    </row>
    <row r="24" ht="16" customHeight="1">
      <c r="A24" s="1" t="n"/>
      <c r="B24" s="22" t="inlineStr"/>
      <c r="C24" s="23" t="inlineStr"/>
      <c r="D24" s="24" t="inlineStr"/>
      <c r="E24" s="25" t="inlineStr"/>
      <c r="F24" s="31" t="inlineStr">
        <is>
          <t>Gasto</t>
        </is>
      </c>
      <c r="G24" s="27">
        <f>IF(E24="",G23,IF(F24="Ingreso",G23+E24,G23-E24))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6" customHeight="1">
      <c r="A25" s="1" t="n"/>
      <c r="B25" s="22" t="inlineStr"/>
      <c r="C25" s="23" t="inlineStr"/>
      <c r="D25" s="24" t="inlineStr"/>
      <c r="E25" s="25" t="inlineStr"/>
      <c r="F25" s="31" t="inlineStr">
        <is>
          <t>Gasto</t>
        </is>
      </c>
      <c r="G25" s="27">
        <f>IF(E25="",G24,IF(F25="Ingreso",G24+E25,G24-E25))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6" customHeight="1">
      <c r="A26" s="1" t="n"/>
      <c r="B26" s="22" t="inlineStr"/>
      <c r="C26" s="23" t="inlineStr"/>
      <c r="D26" s="24" t="inlineStr"/>
      <c r="E26" s="25" t="inlineStr"/>
      <c r="F26" s="31" t="inlineStr">
        <is>
          <t>Gasto</t>
        </is>
      </c>
      <c r="G26" s="27">
        <f>IF(E26="",G25,IF(F26="Ingreso",G25+E26,G25-E26))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6" customHeight="1">
      <c r="A27" s="1" t="n"/>
      <c r="B27" s="22" t="inlineStr"/>
      <c r="C27" s="23" t="inlineStr"/>
      <c r="D27" s="24" t="inlineStr"/>
      <c r="E27" s="25" t="inlineStr"/>
      <c r="F27" s="31" t="inlineStr">
        <is>
          <t>Gasto</t>
        </is>
      </c>
      <c r="G27" s="27">
        <f>IF(E27="",G26,IF(F27="Ingreso",G26+E27,G26-E27))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6" customHeight="1">
      <c r="A28" s="1" t="n"/>
      <c r="B28" s="22" t="inlineStr"/>
      <c r="C28" s="23" t="inlineStr"/>
      <c r="D28" s="24" t="inlineStr"/>
      <c r="E28" s="25" t="inlineStr"/>
      <c r="F28" s="31" t="inlineStr">
        <is>
          <t>Gasto</t>
        </is>
      </c>
      <c r="G28" s="27">
        <f>IF(E28="",G27,IF(F28="Ingreso",G27+E28,G27-E28))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6" customHeight="1">
      <c r="A29" s="1" t="n"/>
      <c r="B29" s="22" t="inlineStr"/>
      <c r="C29" s="23" t="inlineStr"/>
      <c r="D29" s="24" t="inlineStr"/>
      <c r="E29" s="25" t="inlineStr"/>
      <c r="F29" s="31" t="inlineStr">
        <is>
          <t>Gasto</t>
        </is>
      </c>
      <c r="G29" s="27">
        <f>IF(E29="",G28,IF(F29="Ingreso",G28+E29,G28-E29))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6" customHeight="1">
      <c r="A30" s="1" t="n"/>
      <c r="B30" s="22" t="inlineStr"/>
      <c r="C30" s="23" t="inlineStr"/>
      <c r="D30" s="24" t="inlineStr"/>
      <c r="E30" s="25" t="inlineStr"/>
      <c r="F30" s="31" t="inlineStr">
        <is>
          <t>Gasto</t>
        </is>
      </c>
      <c r="G30" s="27">
        <f>IF(E30="",G29,IF(F30="Ingreso",G29+E30,G29-E30))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6" customHeight="1">
      <c r="A31" s="1" t="n"/>
      <c r="B31" s="22" t="inlineStr"/>
      <c r="C31" s="23" t="inlineStr"/>
      <c r="D31" s="24" t="inlineStr"/>
      <c r="E31" s="25" t="inlineStr"/>
      <c r="F31" s="31" t="inlineStr">
        <is>
          <t>Gasto</t>
        </is>
      </c>
      <c r="G31" s="27">
        <f>IF(E31="",G30,IF(F31="Ingreso",G30+E31,G30-E31))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6" customHeight="1">
      <c r="A32" s="1" t="n"/>
      <c r="B32" s="22" t="inlineStr"/>
      <c r="C32" s="23" t="inlineStr"/>
      <c r="D32" s="24" t="inlineStr"/>
      <c r="E32" s="25" t="inlineStr"/>
      <c r="F32" s="31" t="inlineStr">
        <is>
          <t>Gasto</t>
        </is>
      </c>
      <c r="G32" s="27">
        <f>IF(E32="",G31,IF(F32="Ingreso",G31+E32,G31-E32))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6" customHeight="1">
      <c r="A33" s="1" t="n"/>
      <c r="B33" s="22" t="inlineStr"/>
      <c r="C33" s="23" t="inlineStr"/>
      <c r="D33" s="24" t="inlineStr"/>
      <c r="E33" s="25" t="inlineStr"/>
      <c r="F33" s="31" t="inlineStr">
        <is>
          <t>Gasto</t>
        </is>
      </c>
      <c r="G33" s="27">
        <f>IF(E33="",G32,IF(F33="Ingreso",G32+E33,G32-E33))</f>
        <v/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6" customHeight="1">
      <c r="A34" s="1" t="n"/>
      <c r="B34" s="22" t="inlineStr"/>
      <c r="C34" s="23" t="inlineStr"/>
      <c r="D34" s="24" t="inlineStr"/>
      <c r="E34" s="25" t="inlineStr"/>
      <c r="F34" s="31" t="inlineStr">
        <is>
          <t>Gasto</t>
        </is>
      </c>
      <c r="G34" s="27">
        <f>IF(E34="",G33,IF(F34="Ingreso",G33+E34,G33-E34))</f>
        <v/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6" customHeight="1">
      <c r="A35" s="1" t="n"/>
      <c r="B35" s="22" t="inlineStr"/>
      <c r="C35" s="23" t="inlineStr"/>
      <c r="D35" s="24" t="inlineStr"/>
      <c r="E35" s="25" t="inlineStr"/>
      <c r="F35" s="31" t="inlineStr">
        <is>
          <t>Gasto</t>
        </is>
      </c>
      <c r="G35" s="27">
        <f>IF(E35="",G34,IF(F35="Ingreso",G34+E35,G34-E35))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6" customHeight="1">
      <c r="A36" s="1" t="n"/>
      <c r="B36" s="22" t="inlineStr"/>
      <c r="C36" s="23" t="inlineStr"/>
      <c r="D36" s="24" t="inlineStr"/>
      <c r="E36" s="25" t="inlineStr"/>
      <c r="F36" s="31" t="inlineStr">
        <is>
          <t>Gasto</t>
        </is>
      </c>
      <c r="G36" s="27">
        <f>IF(E36="",G35,IF(F36="Ingreso",G35+E36,G35-E36))</f>
        <v/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6" customHeight="1">
      <c r="A37" s="1" t="n"/>
      <c r="B37" s="22" t="inlineStr"/>
      <c r="C37" s="23" t="inlineStr"/>
      <c r="D37" s="24" t="inlineStr"/>
      <c r="E37" s="25" t="inlineStr"/>
      <c r="F37" s="31" t="inlineStr">
        <is>
          <t>Gasto</t>
        </is>
      </c>
      <c r="G37" s="27">
        <f>IF(E37="",G36,IF(F37="Ingreso",G36+E37,G36-E37))</f>
        <v/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6" customHeight="1">
      <c r="A38" s="1" t="n"/>
      <c r="B38" s="22" t="inlineStr"/>
      <c r="C38" s="23" t="inlineStr"/>
      <c r="D38" s="24" t="inlineStr"/>
      <c r="E38" s="25" t="inlineStr"/>
      <c r="F38" s="31" t="inlineStr">
        <is>
          <t>Gasto</t>
        </is>
      </c>
      <c r="G38" s="27">
        <f>IF(E38="",G37,IF(F38="Ingreso",G37+E38,G37-E38))</f>
        <v/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6" customHeight="1">
      <c r="A39" s="1" t="n"/>
      <c r="B39" s="22" t="inlineStr"/>
      <c r="C39" s="23" t="inlineStr"/>
      <c r="D39" s="24" t="inlineStr"/>
      <c r="E39" s="25" t="inlineStr"/>
      <c r="F39" s="31" t="inlineStr">
        <is>
          <t>Gasto</t>
        </is>
      </c>
      <c r="G39" s="27">
        <f>IF(E39="",G38,IF(F39="Ingreso",G38+E39,G38-E39))</f>
        <v/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6" customHeight="1">
      <c r="A40" s="1" t="n"/>
      <c r="B40" s="22" t="inlineStr"/>
      <c r="C40" s="23" t="inlineStr"/>
      <c r="D40" s="24" t="inlineStr"/>
      <c r="E40" s="25" t="inlineStr"/>
      <c r="F40" s="31" t="inlineStr">
        <is>
          <t>Gasto</t>
        </is>
      </c>
      <c r="G40" s="27">
        <f>IF(E40="",G39,IF(F40="Ingreso",G39+E40,G39-E40))</f>
        <v/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16" customHeight="1">
      <c r="A41" s="1" t="n"/>
      <c r="B41" s="22" t="inlineStr"/>
      <c r="C41" s="23" t="inlineStr"/>
      <c r="D41" s="24" t="inlineStr"/>
      <c r="E41" s="25" t="inlineStr"/>
      <c r="F41" s="31" t="inlineStr">
        <is>
          <t>Gasto</t>
        </is>
      </c>
      <c r="G41" s="27">
        <f>IF(E41="",G40,IF(F41="Ingreso",G40+E41,G40-E41))</f>
        <v/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6" customHeight="1">
      <c r="A42" s="1" t="n"/>
      <c r="B42" s="22" t="inlineStr"/>
      <c r="C42" s="23" t="inlineStr"/>
      <c r="D42" s="24" t="inlineStr"/>
      <c r="E42" s="25" t="inlineStr"/>
      <c r="F42" s="31" t="inlineStr">
        <is>
          <t>Gasto</t>
        </is>
      </c>
      <c r="G42" s="27">
        <f>IF(E42="",G41,IF(F42="Ingreso",G41+E42,G41-E42))</f>
        <v/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16" customHeight="1">
      <c r="A43" s="1" t="n"/>
      <c r="B43" s="22" t="inlineStr"/>
      <c r="C43" s="23" t="inlineStr"/>
      <c r="D43" s="24" t="inlineStr"/>
      <c r="E43" s="25" t="inlineStr"/>
      <c r="F43" s="31" t="inlineStr">
        <is>
          <t>Gasto</t>
        </is>
      </c>
      <c r="G43" s="27">
        <f>IF(E43="",G42,IF(F43="Ingreso",G42+E43,G42-E43))</f>
        <v/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6" customHeight="1">
      <c r="A44" s="1" t="n"/>
      <c r="B44" s="22" t="inlineStr"/>
      <c r="C44" s="23" t="inlineStr"/>
      <c r="D44" s="24" t="inlineStr"/>
      <c r="E44" s="25" t="inlineStr"/>
      <c r="F44" s="31" t="inlineStr">
        <is>
          <t>Gasto</t>
        </is>
      </c>
      <c r="G44" s="27">
        <f>IF(E44="",G43,IF(F44="Ingreso",G43+E44,G43-E44))</f>
        <v/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6" customHeight="1">
      <c r="A45" s="1" t="n"/>
      <c r="B45" s="22" t="inlineStr"/>
      <c r="C45" s="23" t="inlineStr"/>
      <c r="D45" s="24" t="inlineStr"/>
      <c r="E45" s="25" t="inlineStr"/>
      <c r="F45" s="31" t="inlineStr">
        <is>
          <t>Gasto</t>
        </is>
      </c>
      <c r="G45" s="27">
        <f>IF(E45="",G44,IF(F45="Ingreso",G44+E45,G44-E45))</f>
        <v/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6" customHeight="1">
      <c r="A46" s="1" t="n"/>
      <c r="B46" s="22" t="inlineStr"/>
      <c r="C46" s="23" t="inlineStr"/>
      <c r="D46" s="24" t="inlineStr"/>
      <c r="E46" s="25" t="inlineStr"/>
      <c r="F46" s="31" t="inlineStr">
        <is>
          <t>Gasto</t>
        </is>
      </c>
      <c r="G46" s="27">
        <f>IF(E46="",G45,IF(F46="Ingreso",G45+E46,G45-E46))</f>
        <v/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6" customHeight="1">
      <c r="A47" s="1" t="n"/>
      <c r="B47" s="22" t="inlineStr"/>
      <c r="C47" s="23" t="inlineStr"/>
      <c r="D47" s="24" t="inlineStr"/>
      <c r="E47" s="25" t="inlineStr"/>
      <c r="F47" s="31" t="inlineStr">
        <is>
          <t>Gasto</t>
        </is>
      </c>
      <c r="G47" s="27">
        <f>IF(E47="",G46,IF(F47="Ingreso",G46+E47,G46-E47))</f>
        <v/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6" customHeight="1">
      <c r="A48" s="1" t="n"/>
      <c r="B48" s="22" t="inlineStr"/>
      <c r="C48" s="23" t="inlineStr"/>
      <c r="D48" s="24" t="inlineStr"/>
      <c r="E48" s="25" t="inlineStr"/>
      <c r="F48" s="31" t="inlineStr">
        <is>
          <t>Gasto</t>
        </is>
      </c>
      <c r="G48" s="27">
        <f>IF(E48="",G47,IF(F48="Ingreso",G47+E48,G47-E48))</f>
        <v/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 ht="16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 ht="1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 ht="16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 ht="16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 ht="16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 ht="1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 ht="1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 ht="1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 ht="1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 ht="1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 ht="1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 ht="1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 ht="1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 ht="1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 ht="1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 ht="1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 ht="1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</sheetData>
  <mergeCells count="3">
    <mergeCell ref="I7:M7"/>
    <mergeCell ref="B2:G2"/>
    <mergeCell ref="B7:G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18" customWidth="1" min="4" max="4"/>
    <col width="14" customWidth="1" min="5" max="5"/>
    <col width="12" customWidth="1" min="6" max="6"/>
    <col width="14" customWidth="1" min="7" max="7"/>
    <col width="2" customWidth="1" min="8" max="8"/>
    <col width="26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32" t="inlineStr">
        <is>
          <t>AGOSTO  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6" customHeight="1">
      <c r="A4" s="1" t="n"/>
      <c r="B4" s="15" t="inlineStr">
        <is>
          <t>💰 INGRESOS</t>
        </is>
      </c>
      <c r="C4" s="15" t="inlineStr">
        <is>
          <t>💸 GASTOS</t>
        </is>
      </c>
      <c r="D4" s="15" t="inlineStr">
        <is>
          <t>💾 AHORRO</t>
        </is>
      </c>
      <c r="E4" s="15" t="inlineStr">
        <is>
          <t>% AHORRO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24" customHeight="1">
      <c r="A5" s="1" t="n"/>
      <c r="B5" s="16">
        <f>SUMIF(F8:F200,"Ingreso",E8:E200)</f>
        <v/>
      </c>
      <c r="C5" s="17">
        <f>SUMIF(F8:F200,"Gasto",E8:E200)</f>
        <v/>
      </c>
      <c r="D5" s="18">
        <f>SUMIF(F8:F200,"Ingreso",E8:E200)-SUMIF(F8:F200,"Gasto",E8:E200)</f>
        <v/>
      </c>
      <c r="E5" s="19">
        <f>IFERROR((SUMIF(F8:F200,"Ingreso",E8:E200)-SUMIF(F8:F200,"Gasto",E8:E200))/SUMIF(F8:F200,"Ingreso",E8:E200),0)</f>
        <v/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6" customHeight="1">
      <c r="A7" s="1" t="n"/>
      <c r="B7" s="33" t="inlineStr">
        <is>
          <t>📝  REGISTRO DE TRANSACCIONES</t>
        </is>
      </c>
      <c r="H7" s="1" t="n"/>
      <c r="I7" s="33" t="inlineStr">
        <is>
          <t>📊  PRESUPUESTO vs REAL</t>
        </is>
      </c>
      <c r="N7" s="1" t="n"/>
      <c r="O7" s="1" t="n"/>
      <c r="P7" s="1" t="n"/>
    </row>
    <row r="8" ht="16" customHeight="1">
      <c r="A8" s="1" t="n"/>
      <c r="B8" s="21" t="inlineStr">
        <is>
          <t>FECHA</t>
        </is>
      </c>
      <c r="C8" s="21" t="inlineStr">
        <is>
          <t>DESCRIPCIÓN</t>
        </is>
      </c>
      <c r="D8" s="21" t="inlineStr">
        <is>
          <t>CATEGORÍA</t>
        </is>
      </c>
      <c r="E8" s="21" t="inlineStr">
        <is>
          <t>MONTO</t>
        </is>
      </c>
      <c r="F8" s="21" t="inlineStr">
        <is>
          <t>TIPO</t>
        </is>
      </c>
      <c r="G8" s="21" t="inlineStr">
        <is>
          <t>ACUMULADO</t>
        </is>
      </c>
      <c r="H8" s="1" t="n"/>
      <c r="I8" s="21" t="inlineStr">
        <is>
          <t>CATEGORÍA</t>
        </is>
      </c>
      <c r="J8" s="21" t="inlineStr">
        <is>
          <t>PRESUPUESTO</t>
        </is>
      </c>
      <c r="K8" s="21" t="inlineStr">
        <is>
          <t>REAL</t>
        </is>
      </c>
      <c r="L8" s="21" t="inlineStr">
        <is>
          <t>DIFERENCIA</t>
        </is>
      </c>
      <c r="M8" s="21" t="inlineStr">
        <is>
          <t>ESTADO</t>
        </is>
      </c>
      <c r="N8" s="1" t="n"/>
      <c r="O8" s="1" t="n"/>
      <c r="P8" s="1" t="n"/>
    </row>
    <row r="9" ht="16" customHeight="1">
      <c r="A9" s="1" t="n"/>
      <c r="B9" s="22" t="inlineStr"/>
      <c r="C9" s="23" t="inlineStr"/>
      <c r="D9" s="24" t="inlineStr"/>
      <c r="E9" s="25" t="inlineStr"/>
      <c r="F9" s="26" t="inlineStr">
        <is>
          <t>Ingreso</t>
        </is>
      </c>
      <c r="G9" s="27">
        <f>IF(F9="Ingreso",E9,-E9)</f>
        <v/>
      </c>
      <c r="H9" s="1" t="n"/>
      <c r="I9" s="11">
        <f>'⚙️ Configuración'!B9</f>
        <v/>
      </c>
      <c r="J9" s="28">
        <f>'⚙️ Configuración'!C9</f>
        <v/>
      </c>
      <c r="K9" s="29">
        <f>SUMIF(D9:D48,I9,E9:E48)</f>
        <v/>
      </c>
      <c r="L9" s="30">
        <f>J9-K9</f>
        <v/>
      </c>
      <c r="M9" s="26">
        <f>IF(L9&gt;=0,"✅ OK","⚠️ Excedido")</f>
        <v/>
      </c>
      <c r="N9" s="1" t="n"/>
      <c r="O9" s="1" t="n"/>
      <c r="P9" s="1" t="n"/>
    </row>
    <row r="10" ht="16" customHeight="1">
      <c r="A10" s="1" t="n"/>
      <c r="B10" s="22" t="inlineStr"/>
      <c r="C10" s="23" t="inlineStr"/>
      <c r="D10" s="24" t="inlineStr"/>
      <c r="E10" s="25" t="inlineStr"/>
      <c r="F10" s="31" t="inlineStr">
        <is>
          <t>Gasto</t>
        </is>
      </c>
      <c r="G10" s="27">
        <f>IF(E10="",G9,IF(F10="Ingreso",G9+E10,G9-E10))</f>
        <v/>
      </c>
      <c r="H10" s="1" t="n"/>
      <c r="I10" s="11">
        <f>'⚙️ Configuración'!B10</f>
        <v/>
      </c>
      <c r="J10" s="28">
        <f>'⚙️ Configuración'!C10</f>
        <v/>
      </c>
      <c r="K10" s="29">
        <f>SUMIF(D9:D48,I10,E9:E48)</f>
        <v/>
      </c>
      <c r="L10" s="30">
        <f>J10-K10</f>
        <v/>
      </c>
      <c r="M10" s="26">
        <f>IF(L10&gt;=0,"✅ OK","⚠️ Excedido")</f>
        <v/>
      </c>
      <c r="N10" s="1" t="n"/>
      <c r="O10" s="1" t="n"/>
      <c r="P10" s="1" t="n"/>
    </row>
    <row r="11" ht="16" customHeight="1">
      <c r="A11" s="1" t="n"/>
      <c r="B11" s="22" t="inlineStr"/>
      <c r="C11" s="23" t="inlineStr"/>
      <c r="D11" s="24" t="inlineStr"/>
      <c r="E11" s="25" t="inlineStr"/>
      <c r="F11" s="31" t="inlineStr">
        <is>
          <t>Gasto</t>
        </is>
      </c>
      <c r="G11" s="27">
        <f>IF(E11="",G10,IF(F11="Ingreso",G10+E11,G10-E11))</f>
        <v/>
      </c>
      <c r="H11" s="1" t="n"/>
      <c r="I11" s="11">
        <f>'⚙️ Configuración'!B11</f>
        <v/>
      </c>
      <c r="J11" s="28">
        <f>'⚙️ Configuración'!C11</f>
        <v/>
      </c>
      <c r="K11" s="29">
        <f>SUMIF(D9:D48,I11,E9:E48)</f>
        <v/>
      </c>
      <c r="L11" s="30">
        <f>J11-K11</f>
        <v/>
      </c>
      <c r="M11" s="26">
        <f>IF(L11&gt;=0,"✅ OK","⚠️ Excedido")</f>
        <v/>
      </c>
      <c r="N11" s="1" t="n"/>
      <c r="O11" s="1" t="n"/>
      <c r="P11" s="1" t="n"/>
    </row>
    <row r="12" ht="16" customHeight="1">
      <c r="A12" s="1" t="n"/>
      <c r="B12" s="22" t="inlineStr"/>
      <c r="C12" s="23" t="inlineStr"/>
      <c r="D12" s="24" t="inlineStr"/>
      <c r="E12" s="25" t="inlineStr"/>
      <c r="F12" s="31" t="inlineStr">
        <is>
          <t>Gasto</t>
        </is>
      </c>
      <c r="G12" s="27">
        <f>IF(E12="",G11,IF(F12="Ingreso",G11+E12,G11-E12))</f>
        <v/>
      </c>
      <c r="H12" s="1" t="n"/>
      <c r="I12" s="11">
        <f>'⚙️ Configuración'!B12</f>
        <v/>
      </c>
      <c r="J12" s="28">
        <f>'⚙️ Configuración'!C12</f>
        <v/>
      </c>
      <c r="K12" s="29">
        <f>SUMIF(D9:D48,I12,E9:E48)</f>
        <v/>
      </c>
      <c r="L12" s="30">
        <f>J12-K12</f>
        <v/>
      </c>
      <c r="M12" s="26">
        <f>IF(L12&gt;=0,"✅ OK","⚠️ Excedido")</f>
        <v/>
      </c>
      <c r="N12" s="1" t="n"/>
      <c r="O12" s="1" t="n"/>
      <c r="P12" s="1" t="n"/>
    </row>
    <row r="13" ht="16" customHeight="1">
      <c r="A13" s="1" t="n"/>
      <c r="B13" s="22" t="inlineStr"/>
      <c r="C13" s="23" t="inlineStr"/>
      <c r="D13" s="24" t="inlineStr"/>
      <c r="E13" s="25" t="inlineStr"/>
      <c r="F13" s="31" t="inlineStr">
        <is>
          <t>Gasto</t>
        </is>
      </c>
      <c r="G13" s="27">
        <f>IF(E13="",G12,IF(F13="Ingreso",G12+E13,G12-E13))</f>
        <v/>
      </c>
      <c r="H13" s="1" t="n"/>
      <c r="I13" s="11">
        <f>'⚙️ Configuración'!B13</f>
        <v/>
      </c>
      <c r="J13" s="28">
        <f>'⚙️ Configuración'!C13</f>
        <v/>
      </c>
      <c r="K13" s="29">
        <f>SUMIF(D9:D48,I13,E9:E48)</f>
        <v/>
      </c>
      <c r="L13" s="30">
        <f>J13-K13</f>
        <v/>
      </c>
      <c r="M13" s="26">
        <f>IF(L13&gt;=0,"✅ OK","⚠️ Excedido")</f>
        <v/>
      </c>
      <c r="N13" s="1" t="n"/>
      <c r="O13" s="1" t="n"/>
      <c r="P13" s="1" t="n"/>
    </row>
    <row r="14" ht="16" customHeight="1">
      <c r="A14" s="1" t="n"/>
      <c r="B14" s="22" t="inlineStr"/>
      <c r="C14" s="23" t="inlineStr"/>
      <c r="D14" s="24" t="inlineStr"/>
      <c r="E14" s="25" t="inlineStr"/>
      <c r="F14" s="31" t="inlineStr">
        <is>
          <t>Gasto</t>
        </is>
      </c>
      <c r="G14" s="27">
        <f>IF(E14="",G13,IF(F14="Ingreso",G13+E14,G13-E14))</f>
        <v/>
      </c>
      <c r="H14" s="1" t="n"/>
      <c r="I14" s="11">
        <f>'⚙️ Configuración'!B14</f>
        <v/>
      </c>
      <c r="J14" s="28">
        <f>'⚙️ Configuración'!C14</f>
        <v/>
      </c>
      <c r="K14" s="29">
        <f>SUMIF(D9:D48,I14,E9:E48)</f>
        <v/>
      </c>
      <c r="L14" s="30">
        <f>J14-K14</f>
        <v/>
      </c>
      <c r="M14" s="26">
        <f>IF(L14&gt;=0,"✅ OK","⚠️ Excedido")</f>
        <v/>
      </c>
      <c r="N14" s="1" t="n"/>
      <c r="O14" s="1" t="n"/>
      <c r="P14" s="1" t="n"/>
    </row>
    <row r="15" ht="16" customHeight="1">
      <c r="A15" s="1" t="n"/>
      <c r="B15" s="22" t="inlineStr"/>
      <c r="C15" s="23" t="inlineStr"/>
      <c r="D15" s="24" t="inlineStr"/>
      <c r="E15" s="25" t="inlineStr"/>
      <c r="F15" s="31" t="inlineStr">
        <is>
          <t>Gasto</t>
        </is>
      </c>
      <c r="G15" s="27">
        <f>IF(E15="",G14,IF(F15="Ingreso",G14+E15,G14-E15))</f>
        <v/>
      </c>
      <c r="H15" s="1" t="n"/>
      <c r="I15" s="11">
        <f>'⚙️ Configuración'!B15</f>
        <v/>
      </c>
      <c r="J15" s="28">
        <f>'⚙️ Configuración'!C15</f>
        <v/>
      </c>
      <c r="K15" s="29">
        <f>SUMIF(D9:D48,I15,E9:E48)</f>
        <v/>
      </c>
      <c r="L15" s="30">
        <f>J15-K15</f>
        <v/>
      </c>
      <c r="M15" s="26">
        <f>IF(L15&gt;=0,"✅ OK","⚠️ Excedido")</f>
        <v/>
      </c>
      <c r="N15" s="1" t="n"/>
      <c r="O15" s="1" t="n"/>
      <c r="P15" s="1" t="n"/>
    </row>
    <row r="16" ht="16" customHeight="1">
      <c r="A16" s="1" t="n"/>
      <c r="B16" s="22" t="inlineStr"/>
      <c r="C16" s="23" t="inlineStr"/>
      <c r="D16" s="24" t="inlineStr"/>
      <c r="E16" s="25" t="inlineStr"/>
      <c r="F16" s="31" t="inlineStr">
        <is>
          <t>Gasto</t>
        </is>
      </c>
      <c r="G16" s="27">
        <f>IF(E16="",G15,IF(F16="Ingreso",G15+E16,G15-E16))</f>
        <v/>
      </c>
      <c r="H16" s="1" t="n"/>
      <c r="I16" s="11">
        <f>'⚙️ Configuración'!B16</f>
        <v/>
      </c>
      <c r="J16" s="28">
        <f>'⚙️ Configuración'!C16</f>
        <v/>
      </c>
      <c r="K16" s="29">
        <f>SUMIF(D9:D48,I16,E9:E48)</f>
        <v/>
      </c>
      <c r="L16" s="30">
        <f>J16-K16</f>
        <v/>
      </c>
      <c r="M16" s="26">
        <f>IF(L16&gt;=0,"✅ OK","⚠️ Excedido")</f>
        <v/>
      </c>
      <c r="N16" s="1" t="n"/>
      <c r="O16" s="1" t="n"/>
      <c r="P16" s="1" t="n"/>
    </row>
    <row r="17" ht="16" customHeight="1">
      <c r="A17" s="1" t="n"/>
      <c r="B17" s="22" t="inlineStr"/>
      <c r="C17" s="23" t="inlineStr"/>
      <c r="D17" s="24" t="inlineStr"/>
      <c r="E17" s="25" t="inlineStr"/>
      <c r="F17" s="31" t="inlineStr">
        <is>
          <t>Gasto</t>
        </is>
      </c>
      <c r="G17" s="27">
        <f>IF(E17="",G16,IF(F17="Ingreso",G16+E17,G16-E17))</f>
        <v/>
      </c>
      <c r="H17" s="1" t="n"/>
      <c r="I17" s="11">
        <f>'⚙️ Configuración'!B17</f>
        <v/>
      </c>
      <c r="J17" s="28">
        <f>'⚙️ Configuración'!C17</f>
        <v/>
      </c>
      <c r="K17" s="29">
        <f>SUMIF(D9:D48,I17,E9:E48)</f>
        <v/>
      </c>
      <c r="L17" s="30">
        <f>J17-K17</f>
        <v/>
      </c>
      <c r="M17" s="26">
        <f>IF(L17&gt;=0,"✅ OK","⚠️ Excedido")</f>
        <v/>
      </c>
      <c r="N17" s="1" t="n"/>
      <c r="O17" s="1" t="n"/>
      <c r="P17" s="1" t="n"/>
    </row>
    <row r="18" ht="16" customHeight="1">
      <c r="A18" s="1" t="n"/>
      <c r="B18" s="22" t="inlineStr"/>
      <c r="C18" s="23" t="inlineStr"/>
      <c r="D18" s="24" t="inlineStr"/>
      <c r="E18" s="25" t="inlineStr"/>
      <c r="F18" s="31" t="inlineStr">
        <is>
          <t>Gasto</t>
        </is>
      </c>
      <c r="G18" s="27">
        <f>IF(E18="",G17,IF(F18="Ingreso",G17+E18,G17-E18))</f>
        <v/>
      </c>
      <c r="H18" s="1" t="n"/>
      <c r="I18" s="11">
        <f>'⚙️ Configuración'!B18</f>
        <v/>
      </c>
      <c r="J18" s="28">
        <f>'⚙️ Configuración'!C18</f>
        <v/>
      </c>
      <c r="K18" s="29">
        <f>SUMIF(D9:D48,I18,E9:E48)</f>
        <v/>
      </c>
      <c r="L18" s="30">
        <f>J18-K18</f>
        <v/>
      </c>
      <c r="M18" s="26">
        <f>IF(L18&gt;=0,"✅ OK","⚠️ Excedido")</f>
        <v/>
      </c>
      <c r="N18" s="1" t="n"/>
      <c r="O18" s="1" t="n"/>
      <c r="P18" s="1" t="n"/>
    </row>
    <row r="19" ht="16" customHeight="1">
      <c r="A19" s="1" t="n"/>
      <c r="B19" s="22" t="inlineStr"/>
      <c r="C19" s="23" t="inlineStr"/>
      <c r="D19" s="24" t="inlineStr"/>
      <c r="E19" s="25" t="inlineStr"/>
      <c r="F19" s="31" t="inlineStr">
        <is>
          <t>Gasto</t>
        </is>
      </c>
      <c r="G19" s="27">
        <f>IF(E19="",G18,IF(F19="Ingreso",G18+E19,G18-E19))</f>
        <v/>
      </c>
      <c r="H19" s="1" t="n"/>
      <c r="I19" s="11">
        <f>'⚙️ Configuración'!B19</f>
        <v/>
      </c>
      <c r="J19" s="28">
        <f>'⚙️ Configuración'!C19</f>
        <v/>
      </c>
      <c r="K19" s="29">
        <f>SUMIF(D9:D48,I19,E9:E48)</f>
        <v/>
      </c>
      <c r="L19" s="30">
        <f>J19-K19</f>
        <v/>
      </c>
      <c r="M19" s="26">
        <f>IF(L19&gt;=0,"✅ OK","⚠️ Excedido")</f>
        <v/>
      </c>
      <c r="N19" s="1" t="n"/>
      <c r="O19" s="1" t="n"/>
      <c r="P19" s="1" t="n"/>
    </row>
    <row r="20" ht="16" customHeight="1">
      <c r="A20" s="1" t="n"/>
      <c r="B20" s="22" t="inlineStr"/>
      <c r="C20" s="23" t="inlineStr"/>
      <c r="D20" s="24" t="inlineStr"/>
      <c r="E20" s="25" t="inlineStr"/>
      <c r="F20" s="31" t="inlineStr">
        <is>
          <t>Gasto</t>
        </is>
      </c>
      <c r="G20" s="27">
        <f>IF(E20="",G19,IF(F20="Ingreso",G19+E20,G19-E20))</f>
        <v/>
      </c>
      <c r="H20" s="1" t="n"/>
      <c r="I20" s="11">
        <f>'⚙️ Configuración'!B20</f>
        <v/>
      </c>
      <c r="J20" s="28">
        <f>'⚙️ Configuración'!C20</f>
        <v/>
      </c>
      <c r="K20" s="29">
        <f>SUMIF(D9:D48,I20,E9:E48)</f>
        <v/>
      </c>
      <c r="L20" s="30">
        <f>J20-K20</f>
        <v/>
      </c>
      <c r="M20" s="26">
        <f>IF(L20&gt;=0,"✅ OK","⚠️ Excedido")</f>
        <v/>
      </c>
      <c r="N20" s="1" t="n"/>
      <c r="O20" s="1" t="n"/>
      <c r="P20" s="1" t="n"/>
    </row>
    <row r="21" ht="16" customHeight="1">
      <c r="A21" s="1" t="n"/>
      <c r="B21" s="22" t="inlineStr"/>
      <c r="C21" s="23" t="inlineStr"/>
      <c r="D21" s="24" t="inlineStr"/>
      <c r="E21" s="25" t="inlineStr"/>
      <c r="F21" s="31" t="inlineStr">
        <is>
          <t>Gasto</t>
        </is>
      </c>
      <c r="G21" s="27">
        <f>IF(E21="",G20,IF(F21="Ingreso",G20+E21,G20-E21))</f>
        <v/>
      </c>
      <c r="H21" s="1" t="n"/>
      <c r="I21" s="11">
        <f>'⚙️ Configuración'!B21</f>
        <v/>
      </c>
      <c r="J21" s="28">
        <f>'⚙️ Configuración'!C21</f>
        <v/>
      </c>
      <c r="K21" s="29">
        <f>SUMIF(D9:D48,I21,E9:E48)</f>
        <v/>
      </c>
      <c r="L21" s="30">
        <f>J21-K21</f>
        <v/>
      </c>
      <c r="M21" s="26">
        <f>IF(L21&gt;=0,"✅ OK","⚠️ Excedido")</f>
        <v/>
      </c>
      <c r="N21" s="1" t="n"/>
      <c r="O21" s="1" t="n"/>
      <c r="P21" s="1" t="n"/>
    </row>
    <row r="22" ht="16" customHeight="1">
      <c r="A22" s="1" t="n"/>
      <c r="B22" s="22" t="inlineStr"/>
      <c r="C22" s="23" t="inlineStr"/>
      <c r="D22" s="24" t="inlineStr"/>
      <c r="E22" s="25" t="inlineStr"/>
      <c r="F22" s="31" t="inlineStr">
        <is>
          <t>Gasto</t>
        </is>
      </c>
      <c r="G22" s="27">
        <f>IF(E22="",G21,IF(F22="Ingreso",G21+E22,G21-E22))</f>
        <v/>
      </c>
      <c r="H22" s="1" t="n"/>
      <c r="I22" s="11">
        <f>'⚙️ Configuración'!B22</f>
        <v/>
      </c>
      <c r="J22" s="28">
        <f>'⚙️ Configuración'!C22</f>
        <v/>
      </c>
      <c r="K22" s="29">
        <f>SUMIF(D9:D48,I22,E9:E48)</f>
        <v/>
      </c>
      <c r="L22" s="30">
        <f>J22-K22</f>
        <v/>
      </c>
      <c r="M22" s="26">
        <f>IF(L22&gt;=0,"✅ OK","⚠️ Excedido")</f>
        <v/>
      </c>
      <c r="N22" s="1" t="n"/>
      <c r="O22" s="1" t="n"/>
      <c r="P22" s="1" t="n"/>
    </row>
    <row r="23" ht="16" customHeight="1">
      <c r="A23" s="1" t="n"/>
      <c r="B23" s="22" t="inlineStr"/>
      <c r="C23" s="23" t="inlineStr"/>
      <c r="D23" s="24" t="inlineStr"/>
      <c r="E23" s="25" t="inlineStr"/>
      <c r="F23" s="31" t="inlineStr">
        <is>
          <t>Gasto</t>
        </is>
      </c>
      <c r="G23" s="27">
        <f>IF(E23="",G22,IF(F23="Ingreso",G22+E23,G22-E23))</f>
        <v/>
      </c>
      <c r="H23" s="1" t="n"/>
      <c r="I23" s="11">
        <f>'⚙️ Configuración'!B23</f>
        <v/>
      </c>
      <c r="J23" s="28">
        <f>'⚙️ Configuración'!C23</f>
        <v/>
      </c>
      <c r="K23" s="29">
        <f>SUMIF(D9:D48,I23,E9:E48)</f>
        <v/>
      </c>
      <c r="L23" s="30">
        <f>J23-K23</f>
        <v/>
      </c>
      <c r="M23" s="26">
        <f>IF(L23&gt;=0,"✅ OK","⚠️ Excedido")</f>
        <v/>
      </c>
      <c r="N23" s="1" t="n"/>
      <c r="O23" s="1" t="n"/>
      <c r="P23" s="1" t="n"/>
    </row>
    <row r="24" ht="16" customHeight="1">
      <c r="A24" s="1" t="n"/>
      <c r="B24" s="22" t="inlineStr"/>
      <c r="C24" s="23" t="inlineStr"/>
      <c r="D24" s="24" t="inlineStr"/>
      <c r="E24" s="25" t="inlineStr"/>
      <c r="F24" s="31" t="inlineStr">
        <is>
          <t>Gasto</t>
        </is>
      </c>
      <c r="G24" s="27">
        <f>IF(E24="",G23,IF(F24="Ingreso",G23+E24,G23-E24))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6" customHeight="1">
      <c r="A25" s="1" t="n"/>
      <c r="B25" s="22" t="inlineStr"/>
      <c r="C25" s="23" t="inlineStr"/>
      <c r="D25" s="24" t="inlineStr"/>
      <c r="E25" s="25" t="inlineStr"/>
      <c r="F25" s="31" t="inlineStr">
        <is>
          <t>Gasto</t>
        </is>
      </c>
      <c r="G25" s="27">
        <f>IF(E25="",G24,IF(F25="Ingreso",G24+E25,G24-E25))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6" customHeight="1">
      <c r="A26" s="1" t="n"/>
      <c r="B26" s="22" t="inlineStr"/>
      <c r="C26" s="23" t="inlineStr"/>
      <c r="D26" s="24" t="inlineStr"/>
      <c r="E26" s="25" t="inlineStr"/>
      <c r="F26" s="31" t="inlineStr">
        <is>
          <t>Gasto</t>
        </is>
      </c>
      <c r="G26" s="27">
        <f>IF(E26="",G25,IF(F26="Ingreso",G25+E26,G25-E26))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6" customHeight="1">
      <c r="A27" s="1" t="n"/>
      <c r="B27" s="22" t="inlineStr"/>
      <c r="C27" s="23" t="inlineStr"/>
      <c r="D27" s="24" t="inlineStr"/>
      <c r="E27" s="25" t="inlineStr"/>
      <c r="F27" s="31" t="inlineStr">
        <is>
          <t>Gasto</t>
        </is>
      </c>
      <c r="G27" s="27">
        <f>IF(E27="",G26,IF(F27="Ingreso",G26+E27,G26-E27))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6" customHeight="1">
      <c r="A28" s="1" t="n"/>
      <c r="B28" s="22" t="inlineStr"/>
      <c r="C28" s="23" t="inlineStr"/>
      <c r="D28" s="24" t="inlineStr"/>
      <c r="E28" s="25" t="inlineStr"/>
      <c r="F28" s="31" t="inlineStr">
        <is>
          <t>Gasto</t>
        </is>
      </c>
      <c r="G28" s="27">
        <f>IF(E28="",G27,IF(F28="Ingreso",G27+E28,G27-E28))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6" customHeight="1">
      <c r="A29" s="1" t="n"/>
      <c r="B29" s="22" t="inlineStr"/>
      <c r="C29" s="23" t="inlineStr"/>
      <c r="D29" s="24" t="inlineStr"/>
      <c r="E29" s="25" t="inlineStr"/>
      <c r="F29" s="31" t="inlineStr">
        <is>
          <t>Gasto</t>
        </is>
      </c>
      <c r="G29" s="27">
        <f>IF(E29="",G28,IF(F29="Ingreso",G28+E29,G28-E29))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6" customHeight="1">
      <c r="A30" s="1" t="n"/>
      <c r="B30" s="22" t="inlineStr"/>
      <c r="C30" s="23" t="inlineStr"/>
      <c r="D30" s="24" t="inlineStr"/>
      <c r="E30" s="25" t="inlineStr"/>
      <c r="F30" s="31" t="inlineStr">
        <is>
          <t>Gasto</t>
        </is>
      </c>
      <c r="G30" s="27">
        <f>IF(E30="",G29,IF(F30="Ingreso",G29+E30,G29-E30))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6" customHeight="1">
      <c r="A31" s="1" t="n"/>
      <c r="B31" s="22" t="inlineStr"/>
      <c r="C31" s="23" t="inlineStr"/>
      <c r="D31" s="24" t="inlineStr"/>
      <c r="E31" s="25" t="inlineStr"/>
      <c r="F31" s="31" t="inlineStr">
        <is>
          <t>Gasto</t>
        </is>
      </c>
      <c r="G31" s="27">
        <f>IF(E31="",G30,IF(F31="Ingreso",G30+E31,G30-E31))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6" customHeight="1">
      <c r="A32" s="1" t="n"/>
      <c r="B32" s="22" t="inlineStr"/>
      <c r="C32" s="23" t="inlineStr"/>
      <c r="D32" s="24" t="inlineStr"/>
      <c r="E32" s="25" t="inlineStr"/>
      <c r="F32" s="31" t="inlineStr">
        <is>
          <t>Gasto</t>
        </is>
      </c>
      <c r="G32" s="27">
        <f>IF(E32="",G31,IF(F32="Ingreso",G31+E32,G31-E32))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6" customHeight="1">
      <c r="A33" s="1" t="n"/>
      <c r="B33" s="22" t="inlineStr"/>
      <c r="C33" s="23" t="inlineStr"/>
      <c r="D33" s="24" t="inlineStr"/>
      <c r="E33" s="25" t="inlineStr"/>
      <c r="F33" s="31" t="inlineStr">
        <is>
          <t>Gasto</t>
        </is>
      </c>
      <c r="G33" s="27">
        <f>IF(E33="",G32,IF(F33="Ingreso",G32+E33,G32-E33))</f>
        <v/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6" customHeight="1">
      <c r="A34" s="1" t="n"/>
      <c r="B34" s="22" t="inlineStr"/>
      <c r="C34" s="23" t="inlineStr"/>
      <c r="D34" s="24" t="inlineStr"/>
      <c r="E34" s="25" t="inlineStr"/>
      <c r="F34" s="31" t="inlineStr">
        <is>
          <t>Gasto</t>
        </is>
      </c>
      <c r="G34" s="27">
        <f>IF(E34="",G33,IF(F34="Ingreso",G33+E34,G33-E34))</f>
        <v/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6" customHeight="1">
      <c r="A35" s="1" t="n"/>
      <c r="B35" s="22" t="inlineStr"/>
      <c r="C35" s="23" t="inlineStr"/>
      <c r="D35" s="24" t="inlineStr"/>
      <c r="E35" s="25" t="inlineStr"/>
      <c r="F35" s="31" t="inlineStr">
        <is>
          <t>Gasto</t>
        </is>
      </c>
      <c r="G35" s="27">
        <f>IF(E35="",G34,IF(F35="Ingreso",G34+E35,G34-E35))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6" customHeight="1">
      <c r="A36" s="1" t="n"/>
      <c r="B36" s="22" t="inlineStr"/>
      <c r="C36" s="23" t="inlineStr"/>
      <c r="D36" s="24" t="inlineStr"/>
      <c r="E36" s="25" t="inlineStr"/>
      <c r="F36" s="31" t="inlineStr">
        <is>
          <t>Gasto</t>
        </is>
      </c>
      <c r="G36" s="27">
        <f>IF(E36="",G35,IF(F36="Ingreso",G35+E36,G35-E36))</f>
        <v/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6" customHeight="1">
      <c r="A37" s="1" t="n"/>
      <c r="B37" s="22" t="inlineStr"/>
      <c r="C37" s="23" t="inlineStr"/>
      <c r="D37" s="24" t="inlineStr"/>
      <c r="E37" s="25" t="inlineStr"/>
      <c r="F37" s="31" t="inlineStr">
        <is>
          <t>Gasto</t>
        </is>
      </c>
      <c r="G37" s="27">
        <f>IF(E37="",G36,IF(F37="Ingreso",G36+E37,G36-E37))</f>
        <v/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6" customHeight="1">
      <c r="A38" s="1" t="n"/>
      <c r="B38" s="22" t="inlineStr"/>
      <c r="C38" s="23" t="inlineStr"/>
      <c r="D38" s="24" t="inlineStr"/>
      <c r="E38" s="25" t="inlineStr"/>
      <c r="F38" s="31" t="inlineStr">
        <is>
          <t>Gasto</t>
        </is>
      </c>
      <c r="G38" s="27">
        <f>IF(E38="",G37,IF(F38="Ingreso",G37+E38,G37-E38))</f>
        <v/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6" customHeight="1">
      <c r="A39" s="1" t="n"/>
      <c r="B39" s="22" t="inlineStr"/>
      <c r="C39" s="23" t="inlineStr"/>
      <c r="D39" s="24" t="inlineStr"/>
      <c r="E39" s="25" t="inlineStr"/>
      <c r="F39" s="31" t="inlineStr">
        <is>
          <t>Gasto</t>
        </is>
      </c>
      <c r="G39" s="27">
        <f>IF(E39="",G38,IF(F39="Ingreso",G38+E39,G38-E39))</f>
        <v/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6" customHeight="1">
      <c r="A40" s="1" t="n"/>
      <c r="B40" s="22" t="inlineStr"/>
      <c r="C40" s="23" t="inlineStr"/>
      <c r="D40" s="24" t="inlineStr"/>
      <c r="E40" s="25" t="inlineStr"/>
      <c r="F40" s="31" t="inlineStr">
        <is>
          <t>Gasto</t>
        </is>
      </c>
      <c r="G40" s="27">
        <f>IF(E40="",G39,IF(F40="Ingreso",G39+E40,G39-E40))</f>
        <v/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16" customHeight="1">
      <c r="A41" s="1" t="n"/>
      <c r="B41" s="22" t="inlineStr"/>
      <c r="C41" s="23" t="inlineStr"/>
      <c r="D41" s="24" t="inlineStr"/>
      <c r="E41" s="25" t="inlineStr"/>
      <c r="F41" s="31" t="inlineStr">
        <is>
          <t>Gasto</t>
        </is>
      </c>
      <c r="G41" s="27">
        <f>IF(E41="",G40,IF(F41="Ingreso",G40+E41,G40-E41))</f>
        <v/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6" customHeight="1">
      <c r="A42" s="1" t="n"/>
      <c r="B42" s="22" t="inlineStr"/>
      <c r="C42" s="23" t="inlineStr"/>
      <c r="D42" s="24" t="inlineStr"/>
      <c r="E42" s="25" t="inlineStr"/>
      <c r="F42" s="31" t="inlineStr">
        <is>
          <t>Gasto</t>
        </is>
      </c>
      <c r="G42" s="27">
        <f>IF(E42="",G41,IF(F42="Ingreso",G41+E42,G41-E42))</f>
        <v/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16" customHeight="1">
      <c r="A43" s="1" t="n"/>
      <c r="B43" s="22" t="inlineStr"/>
      <c r="C43" s="23" t="inlineStr"/>
      <c r="D43" s="24" t="inlineStr"/>
      <c r="E43" s="25" t="inlineStr"/>
      <c r="F43" s="31" t="inlineStr">
        <is>
          <t>Gasto</t>
        </is>
      </c>
      <c r="G43" s="27">
        <f>IF(E43="",G42,IF(F43="Ingreso",G42+E43,G42-E43))</f>
        <v/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6" customHeight="1">
      <c r="A44" s="1" t="n"/>
      <c r="B44" s="22" t="inlineStr"/>
      <c r="C44" s="23" t="inlineStr"/>
      <c r="D44" s="24" t="inlineStr"/>
      <c r="E44" s="25" t="inlineStr"/>
      <c r="F44" s="31" t="inlineStr">
        <is>
          <t>Gasto</t>
        </is>
      </c>
      <c r="G44" s="27">
        <f>IF(E44="",G43,IF(F44="Ingreso",G43+E44,G43-E44))</f>
        <v/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6" customHeight="1">
      <c r="A45" s="1" t="n"/>
      <c r="B45" s="22" t="inlineStr"/>
      <c r="C45" s="23" t="inlineStr"/>
      <c r="D45" s="24" t="inlineStr"/>
      <c r="E45" s="25" t="inlineStr"/>
      <c r="F45" s="31" t="inlineStr">
        <is>
          <t>Gasto</t>
        </is>
      </c>
      <c r="G45" s="27">
        <f>IF(E45="",G44,IF(F45="Ingreso",G44+E45,G44-E45))</f>
        <v/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6" customHeight="1">
      <c r="A46" s="1" t="n"/>
      <c r="B46" s="22" t="inlineStr"/>
      <c r="C46" s="23" t="inlineStr"/>
      <c r="D46" s="24" t="inlineStr"/>
      <c r="E46" s="25" t="inlineStr"/>
      <c r="F46" s="31" t="inlineStr">
        <is>
          <t>Gasto</t>
        </is>
      </c>
      <c r="G46" s="27">
        <f>IF(E46="",G45,IF(F46="Ingreso",G45+E46,G45-E46))</f>
        <v/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6" customHeight="1">
      <c r="A47" s="1" t="n"/>
      <c r="B47" s="22" t="inlineStr"/>
      <c r="C47" s="23" t="inlineStr"/>
      <c r="D47" s="24" t="inlineStr"/>
      <c r="E47" s="25" t="inlineStr"/>
      <c r="F47" s="31" t="inlineStr">
        <is>
          <t>Gasto</t>
        </is>
      </c>
      <c r="G47" s="27">
        <f>IF(E47="",G46,IF(F47="Ingreso",G46+E47,G46-E47))</f>
        <v/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6" customHeight="1">
      <c r="A48" s="1" t="n"/>
      <c r="B48" s="22" t="inlineStr"/>
      <c r="C48" s="23" t="inlineStr"/>
      <c r="D48" s="24" t="inlineStr"/>
      <c r="E48" s="25" t="inlineStr"/>
      <c r="F48" s="31" t="inlineStr">
        <is>
          <t>Gasto</t>
        </is>
      </c>
      <c r="G48" s="27">
        <f>IF(E48="",G47,IF(F48="Ingreso",G47+E48,G47-E48))</f>
        <v/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 ht="16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 ht="1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 ht="16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 ht="16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 ht="16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 ht="1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 ht="1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 ht="1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 ht="1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 ht="1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 ht="1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 ht="1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 ht="1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 ht="1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 ht="1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 ht="1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 ht="1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</sheetData>
  <mergeCells count="3">
    <mergeCell ref="I7:M7"/>
    <mergeCell ref="B2:G2"/>
    <mergeCell ref="B7:G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18" customWidth="1" min="4" max="4"/>
    <col width="14" customWidth="1" min="5" max="5"/>
    <col width="12" customWidth="1" min="6" max="6"/>
    <col width="14" customWidth="1" min="7" max="7"/>
    <col width="2" customWidth="1" min="8" max="8"/>
    <col width="26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34" t="inlineStr">
        <is>
          <t>SEPTIEMBRE  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6" customHeight="1">
      <c r="A4" s="1" t="n"/>
      <c r="B4" s="15" t="inlineStr">
        <is>
          <t>💰 INGRESOS</t>
        </is>
      </c>
      <c r="C4" s="15" t="inlineStr">
        <is>
          <t>💸 GASTOS</t>
        </is>
      </c>
      <c r="D4" s="15" t="inlineStr">
        <is>
          <t>💾 AHORRO</t>
        </is>
      </c>
      <c r="E4" s="15" t="inlineStr">
        <is>
          <t>% AHORRO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24" customHeight="1">
      <c r="A5" s="1" t="n"/>
      <c r="B5" s="16">
        <f>SUMIF(F8:F200,"Ingreso",E8:E200)</f>
        <v/>
      </c>
      <c r="C5" s="17">
        <f>SUMIF(F8:F200,"Gasto",E8:E200)</f>
        <v/>
      </c>
      <c r="D5" s="18">
        <f>SUMIF(F8:F200,"Ingreso",E8:E200)-SUMIF(F8:F200,"Gasto",E8:E200)</f>
        <v/>
      </c>
      <c r="E5" s="19">
        <f>IFERROR((SUMIF(F8:F200,"Ingreso",E8:E200)-SUMIF(F8:F200,"Gasto",E8:E200))/SUMIF(F8:F200,"Ingreso",E8:E200),0)</f>
        <v/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6" customHeight="1">
      <c r="A7" s="1" t="n"/>
      <c r="B7" s="35" t="inlineStr">
        <is>
          <t>📝  REGISTRO DE TRANSACCIONES</t>
        </is>
      </c>
      <c r="H7" s="1" t="n"/>
      <c r="I7" s="35" t="inlineStr">
        <is>
          <t>📊  PRESUPUESTO vs REAL</t>
        </is>
      </c>
      <c r="N7" s="1" t="n"/>
      <c r="O7" s="1" t="n"/>
      <c r="P7" s="1" t="n"/>
    </row>
    <row r="8" ht="16" customHeight="1">
      <c r="A8" s="1" t="n"/>
      <c r="B8" s="21" t="inlineStr">
        <is>
          <t>FECHA</t>
        </is>
      </c>
      <c r="C8" s="21" t="inlineStr">
        <is>
          <t>DESCRIPCIÓN</t>
        </is>
      </c>
      <c r="D8" s="21" t="inlineStr">
        <is>
          <t>CATEGORÍA</t>
        </is>
      </c>
      <c r="E8" s="21" t="inlineStr">
        <is>
          <t>MONTO</t>
        </is>
      </c>
      <c r="F8" s="21" t="inlineStr">
        <is>
          <t>TIPO</t>
        </is>
      </c>
      <c r="G8" s="21" t="inlineStr">
        <is>
          <t>ACUMULADO</t>
        </is>
      </c>
      <c r="H8" s="1" t="n"/>
      <c r="I8" s="21" t="inlineStr">
        <is>
          <t>CATEGORÍA</t>
        </is>
      </c>
      <c r="J8" s="21" t="inlineStr">
        <is>
          <t>PRESUPUESTO</t>
        </is>
      </c>
      <c r="K8" s="21" t="inlineStr">
        <is>
          <t>REAL</t>
        </is>
      </c>
      <c r="L8" s="21" t="inlineStr">
        <is>
          <t>DIFERENCIA</t>
        </is>
      </c>
      <c r="M8" s="21" t="inlineStr">
        <is>
          <t>ESTADO</t>
        </is>
      </c>
      <c r="N8" s="1" t="n"/>
      <c r="O8" s="1" t="n"/>
      <c r="P8" s="1" t="n"/>
    </row>
    <row r="9" ht="16" customHeight="1">
      <c r="A9" s="1" t="n"/>
      <c r="B9" s="22" t="inlineStr"/>
      <c r="C9" s="23" t="inlineStr"/>
      <c r="D9" s="24" t="inlineStr"/>
      <c r="E9" s="25" t="inlineStr"/>
      <c r="F9" s="26" t="inlineStr">
        <is>
          <t>Ingreso</t>
        </is>
      </c>
      <c r="G9" s="27">
        <f>IF(F9="Ingreso",E9,-E9)</f>
        <v/>
      </c>
      <c r="H9" s="1" t="n"/>
      <c r="I9" s="11">
        <f>'⚙️ Configuración'!B9</f>
        <v/>
      </c>
      <c r="J9" s="28">
        <f>'⚙️ Configuración'!C9</f>
        <v/>
      </c>
      <c r="K9" s="29">
        <f>SUMIF(D9:D48,I9,E9:E48)</f>
        <v/>
      </c>
      <c r="L9" s="30">
        <f>J9-K9</f>
        <v/>
      </c>
      <c r="M9" s="26">
        <f>IF(L9&gt;=0,"✅ OK","⚠️ Excedido")</f>
        <v/>
      </c>
      <c r="N9" s="1" t="n"/>
      <c r="O9" s="1" t="n"/>
      <c r="P9" s="1" t="n"/>
    </row>
    <row r="10" ht="16" customHeight="1">
      <c r="A10" s="1" t="n"/>
      <c r="B10" s="22" t="inlineStr"/>
      <c r="C10" s="23" t="inlineStr"/>
      <c r="D10" s="24" t="inlineStr"/>
      <c r="E10" s="25" t="inlineStr"/>
      <c r="F10" s="31" t="inlineStr">
        <is>
          <t>Gasto</t>
        </is>
      </c>
      <c r="G10" s="27">
        <f>IF(E10="",G9,IF(F10="Ingreso",G9+E10,G9-E10))</f>
        <v/>
      </c>
      <c r="H10" s="1" t="n"/>
      <c r="I10" s="11">
        <f>'⚙️ Configuración'!B10</f>
        <v/>
      </c>
      <c r="J10" s="28">
        <f>'⚙️ Configuración'!C10</f>
        <v/>
      </c>
      <c r="K10" s="29">
        <f>SUMIF(D9:D48,I10,E9:E48)</f>
        <v/>
      </c>
      <c r="L10" s="30">
        <f>J10-K10</f>
        <v/>
      </c>
      <c r="M10" s="26">
        <f>IF(L10&gt;=0,"✅ OK","⚠️ Excedido")</f>
        <v/>
      </c>
      <c r="N10" s="1" t="n"/>
      <c r="O10" s="1" t="n"/>
      <c r="P10" s="1" t="n"/>
    </row>
    <row r="11" ht="16" customHeight="1">
      <c r="A11" s="1" t="n"/>
      <c r="B11" s="22" t="inlineStr"/>
      <c r="C11" s="23" t="inlineStr"/>
      <c r="D11" s="24" t="inlineStr"/>
      <c r="E11" s="25" t="inlineStr"/>
      <c r="F11" s="31" t="inlineStr">
        <is>
          <t>Gasto</t>
        </is>
      </c>
      <c r="G11" s="27">
        <f>IF(E11="",G10,IF(F11="Ingreso",G10+E11,G10-E11))</f>
        <v/>
      </c>
      <c r="H11" s="1" t="n"/>
      <c r="I11" s="11">
        <f>'⚙️ Configuración'!B11</f>
        <v/>
      </c>
      <c r="J11" s="28">
        <f>'⚙️ Configuración'!C11</f>
        <v/>
      </c>
      <c r="K11" s="29">
        <f>SUMIF(D9:D48,I11,E9:E48)</f>
        <v/>
      </c>
      <c r="L11" s="30">
        <f>J11-K11</f>
        <v/>
      </c>
      <c r="M11" s="26">
        <f>IF(L11&gt;=0,"✅ OK","⚠️ Excedido")</f>
        <v/>
      </c>
      <c r="N11" s="1" t="n"/>
      <c r="O11" s="1" t="n"/>
      <c r="P11" s="1" t="n"/>
    </row>
    <row r="12" ht="16" customHeight="1">
      <c r="A12" s="1" t="n"/>
      <c r="B12" s="22" t="inlineStr"/>
      <c r="C12" s="23" t="inlineStr"/>
      <c r="D12" s="24" t="inlineStr"/>
      <c r="E12" s="25" t="inlineStr"/>
      <c r="F12" s="31" t="inlineStr">
        <is>
          <t>Gasto</t>
        </is>
      </c>
      <c r="G12" s="27">
        <f>IF(E12="",G11,IF(F12="Ingreso",G11+E12,G11-E12))</f>
        <v/>
      </c>
      <c r="H12" s="1" t="n"/>
      <c r="I12" s="11">
        <f>'⚙️ Configuración'!B12</f>
        <v/>
      </c>
      <c r="J12" s="28">
        <f>'⚙️ Configuración'!C12</f>
        <v/>
      </c>
      <c r="K12" s="29">
        <f>SUMIF(D9:D48,I12,E9:E48)</f>
        <v/>
      </c>
      <c r="L12" s="30">
        <f>J12-K12</f>
        <v/>
      </c>
      <c r="M12" s="26">
        <f>IF(L12&gt;=0,"✅ OK","⚠️ Excedido")</f>
        <v/>
      </c>
      <c r="N12" s="1" t="n"/>
      <c r="O12" s="1" t="n"/>
      <c r="P12" s="1" t="n"/>
    </row>
    <row r="13" ht="16" customHeight="1">
      <c r="A13" s="1" t="n"/>
      <c r="B13" s="22" t="inlineStr"/>
      <c r="C13" s="23" t="inlineStr"/>
      <c r="D13" s="24" t="inlineStr"/>
      <c r="E13" s="25" t="inlineStr"/>
      <c r="F13" s="31" t="inlineStr">
        <is>
          <t>Gasto</t>
        </is>
      </c>
      <c r="G13" s="27">
        <f>IF(E13="",G12,IF(F13="Ingreso",G12+E13,G12-E13))</f>
        <v/>
      </c>
      <c r="H13" s="1" t="n"/>
      <c r="I13" s="11">
        <f>'⚙️ Configuración'!B13</f>
        <v/>
      </c>
      <c r="J13" s="28">
        <f>'⚙️ Configuración'!C13</f>
        <v/>
      </c>
      <c r="K13" s="29">
        <f>SUMIF(D9:D48,I13,E9:E48)</f>
        <v/>
      </c>
      <c r="L13" s="30">
        <f>J13-K13</f>
        <v/>
      </c>
      <c r="M13" s="26">
        <f>IF(L13&gt;=0,"✅ OK","⚠️ Excedido")</f>
        <v/>
      </c>
      <c r="N13" s="1" t="n"/>
      <c r="O13" s="1" t="n"/>
      <c r="P13" s="1" t="n"/>
    </row>
    <row r="14" ht="16" customHeight="1">
      <c r="A14" s="1" t="n"/>
      <c r="B14" s="22" t="inlineStr"/>
      <c r="C14" s="23" t="inlineStr"/>
      <c r="D14" s="24" t="inlineStr"/>
      <c r="E14" s="25" t="inlineStr"/>
      <c r="F14" s="31" t="inlineStr">
        <is>
          <t>Gasto</t>
        </is>
      </c>
      <c r="G14" s="27">
        <f>IF(E14="",G13,IF(F14="Ingreso",G13+E14,G13-E14))</f>
        <v/>
      </c>
      <c r="H14" s="1" t="n"/>
      <c r="I14" s="11">
        <f>'⚙️ Configuración'!B14</f>
        <v/>
      </c>
      <c r="J14" s="28">
        <f>'⚙️ Configuración'!C14</f>
        <v/>
      </c>
      <c r="K14" s="29">
        <f>SUMIF(D9:D48,I14,E9:E48)</f>
        <v/>
      </c>
      <c r="L14" s="30">
        <f>J14-K14</f>
        <v/>
      </c>
      <c r="M14" s="26">
        <f>IF(L14&gt;=0,"✅ OK","⚠️ Excedido")</f>
        <v/>
      </c>
      <c r="N14" s="1" t="n"/>
      <c r="O14" s="1" t="n"/>
      <c r="P14" s="1" t="n"/>
    </row>
    <row r="15" ht="16" customHeight="1">
      <c r="A15" s="1" t="n"/>
      <c r="B15" s="22" t="inlineStr"/>
      <c r="C15" s="23" t="inlineStr"/>
      <c r="D15" s="24" t="inlineStr"/>
      <c r="E15" s="25" t="inlineStr"/>
      <c r="F15" s="31" t="inlineStr">
        <is>
          <t>Gasto</t>
        </is>
      </c>
      <c r="G15" s="27">
        <f>IF(E15="",G14,IF(F15="Ingreso",G14+E15,G14-E15))</f>
        <v/>
      </c>
      <c r="H15" s="1" t="n"/>
      <c r="I15" s="11">
        <f>'⚙️ Configuración'!B15</f>
        <v/>
      </c>
      <c r="J15" s="28">
        <f>'⚙️ Configuración'!C15</f>
        <v/>
      </c>
      <c r="K15" s="29">
        <f>SUMIF(D9:D48,I15,E9:E48)</f>
        <v/>
      </c>
      <c r="L15" s="30">
        <f>J15-K15</f>
        <v/>
      </c>
      <c r="M15" s="26">
        <f>IF(L15&gt;=0,"✅ OK","⚠️ Excedido")</f>
        <v/>
      </c>
      <c r="N15" s="1" t="n"/>
      <c r="O15" s="1" t="n"/>
      <c r="P15" s="1" t="n"/>
    </row>
    <row r="16" ht="16" customHeight="1">
      <c r="A16" s="1" t="n"/>
      <c r="B16" s="22" t="inlineStr"/>
      <c r="C16" s="23" t="inlineStr"/>
      <c r="D16" s="24" t="inlineStr"/>
      <c r="E16" s="25" t="inlineStr"/>
      <c r="F16" s="31" t="inlineStr">
        <is>
          <t>Gasto</t>
        </is>
      </c>
      <c r="G16" s="27">
        <f>IF(E16="",G15,IF(F16="Ingreso",G15+E16,G15-E16))</f>
        <v/>
      </c>
      <c r="H16" s="1" t="n"/>
      <c r="I16" s="11">
        <f>'⚙️ Configuración'!B16</f>
        <v/>
      </c>
      <c r="J16" s="28">
        <f>'⚙️ Configuración'!C16</f>
        <v/>
      </c>
      <c r="K16" s="29">
        <f>SUMIF(D9:D48,I16,E9:E48)</f>
        <v/>
      </c>
      <c r="L16" s="30">
        <f>J16-K16</f>
        <v/>
      </c>
      <c r="M16" s="26">
        <f>IF(L16&gt;=0,"✅ OK","⚠️ Excedido")</f>
        <v/>
      </c>
      <c r="N16" s="1" t="n"/>
      <c r="O16" s="1" t="n"/>
      <c r="P16" s="1" t="n"/>
    </row>
    <row r="17" ht="16" customHeight="1">
      <c r="A17" s="1" t="n"/>
      <c r="B17" s="22" t="inlineStr"/>
      <c r="C17" s="23" t="inlineStr"/>
      <c r="D17" s="24" t="inlineStr"/>
      <c r="E17" s="25" t="inlineStr"/>
      <c r="F17" s="31" t="inlineStr">
        <is>
          <t>Gasto</t>
        </is>
      </c>
      <c r="G17" s="27">
        <f>IF(E17="",G16,IF(F17="Ingreso",G16+E17,G16-E17))</f>
        <v/>
      </c>
      <c r="H17" s="1" t="n"/>
      <c r="I17" s="11">
        <f>'⚙️ Configuración'!B17</f>
        <v/>
      </c>
      <c r="J17" s="28">
        <f>'⚙️ Configuración'!C17</f>
        <v/>
      </c>
      <c r="K17" s="29">
        <f>SUMIF(D9:D48,I17,E9:E48)</f>
        <v/>
      </c>
      <c r="L17" s="30">
        <f>J17-K17</f>
        <v/>
      </c>
      <c r="M17" s="26">
        <f>IF(L17&gt;=0,"✅ OK","⚠️ Excedido")</f>
        <v/>
      </c>
      <c r="N17" s="1" t="n"/>
      <c r="O17" s="1" t="n"/>
      <c r="P17" s="1" t="n"/>
    </row>
    <row r="18" ht="16" customHeight="1">
      <c r="A18" s="1" t="n"/>
      <c r="B18" s="22" t="inlineStr"/>
      <c r="C18" s="23" t="inlineStr"/>
      <c r="D18" s="24" t="inlineStr"/>
      <c r="E18" s="25" t="inlineStr"/>
      <c r="F18" s="31" t="inlineStr">
        <is>
          <t>Gasto</t>
        </is>
      </c>
      <c r="G18" s="27">
        <f>IF(E18="",G17,IF(F18="Ingreso",G17+E18,G17-E18))</f>
        <v/>
      </c>
      <c r="H18" s="1" t="n"/>
      <c r="I18" s="11">
        <f>'⚙️ Configuración'!B18</f>
        <v/>
      </c>
      <c r="J18" s="28">
        <f>'⚙️ Configuración'!C18</f>
        <v/>
      </c>
      <c r="K18" s="29">
        <f>SUMIF(D9:D48,I18,E9:E48)</f>
        <v/>
      </c>
      <c r="L18" s="30">
        <f>J18-K18</f>
        <v/>
      </c>
      <c r="M18" s="26">
        <f>IF(L18&gt;=0,"✅ OK","⚠️ Excedido")</f>
        <v/>
      </c>
      <c r="N18" s="1" t="n"/>
      <c r="O18" s="1" t="n"/>
      <c r="P18" s="1" t="n"/>
    </row>
    <row r="19" ht="16" customHeight="1">
      <c r="A19" s="1" t="n"/>
      <c r="B19" s="22" t="inlineStr"/>
      <c r="C19" s="23" t="inlineStr"/>
      <c r="D19" s="24" t="inlineStr"/>
      <c r="E19" s="25" t="inlineStr"/>
      <c r="F19" s="31" t="inlineStr">
        <is>
          <t>Gasto</t>
        </is>
      </c>
      <c r="G19" s="27">
        <f>IF(E19="",G18,IF(F19="Ingreso",G18+E19,G18-E19))</f>
        <v/>
      </c>
      <c r="H19" s="1" t="n"/>
      <c r="I19" s="11">
        <f>'⚙️ Configuración'!B19</f>
        <v/>
      </c>
      <c r="J19" s="28">
        <f>'⚙️ Configuración'!C19</f>
        <v/>
      </c>
      <c r="K19" s="29">
        <f>SUMIF(D9:D48,I19,E9:E48)</f>
        <v/>
      </c>
      <c r="L19" s="30">
        <f>J19-K19</f>
        <v/>
      </c>
      <c r="M19" s="26">
        <f>IF(L19&gt;=0,"✅ OK","⚠️ Excedido")</f>
        <v/>
      </c>
      <c r="N19" s="1" t="n"/>
      <c r="O19" s="1" t="n"/>
      <c r="P19" s="1" t="n"/>
    </row>
    <row r="20" ht="16" customHeight="1">
      <c r="A20" s="1" t="n"/>
      <c r="B20" s="22" t="inlineStr"/>
      <c r="C20" s="23" t="inlineStr"/>
      <c r="D20" s="24" t="inlineStr"/>
      <c r="E20" s="25" t="inlineStr"/>
      <c r="F20" s="31" t="inlineStr">
        <is>
          <t>Gasto</t>
        </is>
      </c>
      <c r="G20" s="27">
        <f>IF(E20="",G19,IF(F20="Ingreso",G19+E20,G19-E20))</f>
        <v/>
      </c>
      <c r="H20" s="1" t="n"/>
      <c r="I20" s="11">
        <f>'⚙️ Configuración'!B20</f>
        <v/>
      </c>
      <c r="J20" s="28">
        <f>'⚙️ Configuración'!C20</f>
        <v/>
      </c>
      <c r="K20" s="29">
        <f>SUMIF(D9:D48,I20,E9:E48)</f>
        <v/>
      </c>
      <c r="L20" s="30">
        <f>J20-K20</f>
        <v/>
      </c>
      <c r="M20" s="26">
        <f>IF(L20&gt;=0,"✅ OK","⚠️ Excedido")</f>
        <v/>
      </c>
      <c r="N20" s="1" t="n"/>
      <c r="O20" s="1" t="n"/>
      <c r="P20" s="1" t="n"/>
    </row>
    <row r="21" ht="16" customHeight="1">
      <c r="A21" s="1" t="n"/>
      <c r="B21" s="22" t="inlineStr"/>
      <c r="C21" s="23" t="inlineStr"/>
      <c r="D21" s="24" t="inlineStr"/>
      <c r="E21" s="25" t="inlineStr"/>
      <c r="F21" s="31" t="inlineStr">
        <is>
          <t>Gasto</t>
        </is>
      </c>
      <c r="G21" s="27">
        <f>IF(E21="",G20,IF(F21="Ingreso",G20+E21,G20-E21))</f>
        <v/>
      </c>
      <c r="H21" s="1" t="n"/>
      <c r="I21" s="11">
        <f>'⚙️ Configuración'!B21</f>
        <v/>
      </c>
      <c r="J21" s="28">
        <f>'⚙️ Configuración'!C21</f>
        <v/>
      </c>
      <c r="K21" s="29">
        <f>SUMIF(D9:D48,I21,E9:E48)</f>
        <v/>
      </c>
      <c r="L21" s="30">
        <f>J21-K21</f>
        <v/>
      </c>
      <c r="M21" s="26">
        <f>IF(L21&gt;=0,"✅ OK","⚠️ Excedido")</f>
        <v/>
      </c>
      <c r="N21" s="1" t="n"/>
      <c r="O21" s="1" t="n"/>
      <c r="P21" s="1" t="n"/>
    </row>
    <row r="22" ht="16" customHeight="1">
      <c r="A22" s="1" t="n"/>
      <c r="B22" s="22" t="inlineStr"/>
      <c r="C22" s="23" t="inlineStr"/>
      <c r="D22" s="24" t="inlineStr"/>
      <c r="E22" s="25" t="inlineStr"/>
      <c r="F22" s="31" t="inlineStr">
        <is>
          <t>Gasto</t>
        </is>
      </c>
      <c r="G22" s="27">
        <f>IF(E22="",G21,IF(F22="Ingreso",G21+E22,G21-E22))</f>
        <v/>
      </c>
      <c r="H22" s="1" t="n"/>
      <c r="I22" s="11">
        <f>'⚙️ Configuración'!B22</f>
        <v/>
      </c>
      <c r="J22" s="28">
        <f>'⚙️ Configuración'!C22</f>
        <v/>
      </c>
      <c r="K22" s="29">
        <f>SUMIF(D9:D48,I22,E9:E48)</f>
        <v/>
      </c>
      <c r="L22" s="30">
        <f>J22-K22</f>
        <v/>
      </c>
      <c r="M22" s="26">
        <f>IF(L22&gt;=0,"✅ OK","⚠️ Excedido")</f>
        <v/>
      </c>
      <c r="N22" s="1" t="n"/>
      <c r="O22" s="1" t="n"/>
      <c r="P22" s="1" t="n"/>
    </row>
    <row r="23" ht="16" customHeight="1">
      <c r="A23" s="1" t="n"/>
      <c r="B23" s="22" t="inlineStr"/>
      <c r="C23" s="23" t="inlineStr"/>
      <c r="D23" s="24" t="inlineStr"/>
      <c r="E23" s="25" t="inlineStr"/>
      <c r="F23" s="31" t="inlineStr">
        <is>
          <t>Gasto</t>
        </is>
      </c>
      <c r="G23" s="27">
        <f>IF(E23="",G22,IF(F23="Ingreso",G22+E23,G22-E23))</f>
        <v/>
      </c>
      <c r="H23" s="1" t="n"/>
      <c r="I23" s="11">
        <f>'⚙️ Configuración'!B23</f>
        <v/>
      </c>
      <c r="J23" s="28">
        <f>'⚙️ Configuración'!C23</f>
        <v/>
      </c>
      <c r="K23" s="29">
        <f>SUMIF(D9:D48,I23,E9:E48)</f>
        <v/>
      </c>
      <c r="L23" s="30">
        <f>J23-K23</f>
        <v/>
      </c>
      <c r="M23" s="26">
        <f>IF(L23&gt;=0,"✅ OK","⚠️ Excedido")</f>
        <v/>
      </c>
      <c r="N23" s="1" t="n"/>
      <c r="O23" s="1" t="n"/>
      <c r="P23" s="1" t="n"/>
    </row>
    <row r="24" ht="16" customHeight="1">
      <c r="A24" s="1" t="n"/>
      <c r="B24" s="22" t="inlineStr"/>
      <c r="C24" s="23" t="inlineStr"/>
      <c r="D24" s="24" t="inlineStr"/>
      <c r="E24" s="25" t="inlineStr"/>
      <c r="F24" s="31" t="inlineStr">
        <is>
          <t>Gasto</t>
        </is>
      </c>
      <c r="G24" s="27">
        <f>IF(E24="",G23,IF(F24="Ingreso",G23+E24,G23-E24))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6" customHeight="1">
      <c r="A25" s="1" t="n"/>
      <c r="B25" s="22" t="inlineStr"/>
      <c r="C25" s="23" t="inlineStr"/>
      <c r="D25" s="24" t="inlineStr"/>
      <c r="E25" s="25" t="inlineStr"/>
      <c r="F25" s="31" t="inlineStr">
        <is>
          <t>Gasto</t>
        </is>
      </c>
      <c r="G25" s="27">
        <f>IF(E25="",G24,IF(F25="Ingreso",G24+E25,G24-E25))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6" customHeight="1">
      <c r="A26" s="1" t="n"/>
      <c r="B26" s="22" t="inlineStr"/>
      <c r="C26" s="23" t="inlineStr"/>
      <c r="D26" s="24" t="inlineStr"/>
      <c r="E26" s="25" t="inlineStr"/>
      <c r="F26" s="31" t="inlineStr">
        <is>
          <t>Gasto</t>
        </is>
      </c>
      <c r="G26" s="27">
        <f>IF(E26="",G25,IF(F26="Ingreso",G25+E26,G25-E26))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6" customHeight="1">
      <c r="A27" s="1" t="n"/>
      <c r="B27" s="22" t="inlineStr"/>
      <c r="C27" s="23" t="inlineStr"/>
      <c r="D27" s="24" t="inlineStr"/>
      <c r="E27" s="25" t="inlineStr"/>
      <c r="F27" s="31" t="inlineStr">
        <is>
          <t>Gasto</t>
        </is>
      </c>
      <c r="G27" s="27">
        <f>IF(E27="",G26,IF(F27="Ingreso",G26+E27,G26-E27))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6" customHeight="1">
      <c r="A28" s="1" t="n"/>
      <c r="B28" s="22" t="inlineStr"/>
      <c r="C28" s="23" t="inlineStr"/>
      <c r="D28" s="24" t="inlineStr"/>
      <c r="E28" s="25" t="inlineStr"/>
      <c r="F28" s="31" t="inlineStr">
        <is>
          <t>Gasto</t>
        </is>
      </c>
      <c r="G28" s="27">
        <f>IF(E28="",G27,IF(F28="Ingreso",G27+E28,G27-E28))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6" customHeight="1">
      <c r="A29" s="1" t="n"/>
      <c r="B29" s="22" t="inlineStr"/>
      <c r="C29" s="23" t="inlineStr"/>
      <c r="D29" s="24" t="inlineStr"/>
      <c r="E29" s="25" t="inlineStr"/>
      <c r="F29" s="31" t="inlineStr">
        <is>
          <t>Gasto</t>
        </is>
      </c>
      <c r="G29" s="27">
        <f>IF(E29="",G28,IF(F29="Ingreso",G28+E29,G28-E29))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6" customHeight="1">
      <c r="A30" s="1" t="n"/>
      <c r="B30" s="22" t="inlineStr"/>
      <c r="C30" s="23" t="inlineStr"/>
      <c r="D30" s="24" t="inlineStr"/>
      <c r="E30" s="25" t="inlineStr"/>
      <c r="F30" s="31" t="inlineStr">
        <is>
          <t>Gasto</t>
        </is>
      </c>
      <c r="G30" s="27">
        <f>IF(E30="",G29,IF(F30="Ingreso",G29+E30,G29-E30))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6" customHeight="1">
      <c r="A31" s="1" t="n"/>
      <c r="B31" s="22" t="inlineStr"/>
      <c r="C31" s="23" t="inlineStr"/>
      <c r="D31" s="24" t="inlineStr"/>
      <c r="E31" s="25" t="inlineStr"/>
      <c r="F31" s="31" t="inlineStr">
        <is>
          <t>Gasto</t>
        </is>
      </c>
      <c r="G31" s="27">
        <f>IF(E31="",G30,IF(F31="Ingreso",G30+E31,G30-E31))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6" customHeight="1">
      <c r="A32" s="1" t="n"/>
      <c r="B32" s="22" t="inlineStr"/>
      <c r="C32" s="23" t="inlineStr"/>
      <c r="D32" s="24" t="inlineStr"/>
      <c r="E32" s="25" t="inlineStr"/>
      <c r="F32" s="31" t="inlineStr">
        <is>
          <t>Gasto</t>
        </is>
      </c>
      <c r="G32" s="27">
        <f>IF(E32="",G31,IF(F32="Ingreso",G31+E32,G31-E32))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6" customHeight="1">
      <c r="A33" s="1" t="n"/>
      <c r="B33" s="22" t="inlineStr"/>
      <c r="C33" s="23" t="inlineStr"/>
      <c r="D33" s="24" t="inlineStr"/>
      <c r="E33" s="25" t="inlineStr"/>
      <c r="F33" s="31" t="inlineStr">
        <is>
          <t>Gasto</t>
        </is>
      </c>
      <c r="G33" s="27">
        <f>IF(E33="",G32,IF(F33="Ingreso",G32+E33,G32-E33))</f>
        <v/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6" customHeight="1">
      <c r="A34" s="1" t="n"/>
      <c r="B34" s="22" t="inlineStr"/>
      <c r="C34" s="23" t="inlineStr"/>
      <c r="D34" s="24" t="inlineStr"/>
      <c r="E34" s="25" t="inlineStr"/>
      <c r="F34" s="31" t="inlineStr">
        <is>
          <t>Gasto</t>
        </is>
      </c>
      <c r="G34" s="27">
        <f>IF(E34="",G33,IF(F34="Ingreso",G33+E34,G33-E34))</f>
        <v/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6" customHeight="1">
      <c r="A35" s="1" t="n"/>
      <c r="B35" s="22" t="inlineStr"/>
      <c r="C35" s="23" t="inlineStr"/>
      <c r="D35" s="24" t="inlineStr"/>
      <c r="E35" s="25" t="inlineStr"/>
      <c r="F35" s="31" t="inlineStr">
        <is>
          <t>Gasto</t>
        </is>
      </c>
      <c r="G35" s="27">
        <f>IF(E35="",G34,IF(F35="Ingreso",G34+E35,G34-E35))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6" customHeight="1">
      <c r="A36" s="1" t="n"/>
      <c r="B36" s="22" t="inlineStr"/>
      <c r="C36" s="23" t="inlineStr"/>
      <c r="D36" s="24" t="inlineStr"/>
      <c r="E36" s="25" t="inlineStr"/>
      <c r="F36" s="31" t="inlineStr">
        <is>
          <t>Gasto</t>
        </is>
      </c>
      <c r="G36" s="27">
        <f>IF(E36="",G35,IF(F36="Ingreso",G35+E36,G35-E36))</f>
        <v/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6" customHeight="1">
      <c r="A37" s="1" t="n"/>
      <c r="B37" s="22" t="inlineStr"/>
      <c r="C37" s="23" t="inlineStr"/>
      <c r="D37" s="24" t="inlineStr"/>
      <c r="E37" s="25" t="inlineStr"/>
      <c r="F37" s="31" t="inlineStr">
        <is>
          <t>Gasto</t>
        </is>
      </c>
      <c r="G37" s="27">
        <f>IF(E37="",G36,IF(F37="Ingreso",G36+E37,G36-E37))</f>
        <v/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6" customHeight="1">
      <c r="A38" s="1" t="n"/>
      <c r="B38" s="22" t="inlineStr"/>
      <c r="C38" s="23" t="inlineStr"/>
      <c r="D38" s="24" t="inlineStr"/>
      <c r="E38" s="25" t="inlineStr"/>
      <c r="F38" s="31" t="inlineStr">
        <is>
          <t>Gasto</t>
        </is>
      </c>
      <c r="G38" s="27">
        <f>IF(E38="",G37,IF(F38="Ingreso",G37+E38,G37-E38))</f>
        <v/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6" customHeight="1">
      <c r="A39" s="1" t="n"/>
      <c r="B39" s="22" t="inlineStr"/>
      <c r="C39" s="23" t="inlineStr"/>
      <c r="D39" s="24" t="inlineStr"/>
      <c r="E39" s="25" t="inlineStr"/>
      <c r="F39" s="31" t="inlineStr">
        <is>
          <t>Gasto</t>
        </is>
      </c>
      <c r="G39" s="27">
        <f>IF(E39="",G38,IF(F39="Ingreso",G38+E39,G38-E39))</f>
        <v/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6" customHeight="1">
      <c r="A40" s="1" t="n"/>
      <c r="B40" s="22" t="inlineStr"/>
      <c r="C40" s="23" t="inlineStr"/>
      <c r="D40" s="24" t="inlineStr"/>
      <c r="E40" s="25" t="inlineStr"/>
      <c r="F40" s="31" t="inlineStr">
        <is>
          <t>Gasto</t>
        </is>
      </c>
      <c r="G40" s="27">
        <f>IF(E40="",G39,IF(F40="Ingreso",G39+E40,G39-E40))</f>
        <v/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16" customHeight="1">
      <c r="A41" s="1" t="n"/>
      <c r="B41" s="22" t="inlineStr"/>
      <c r="C41" s="23" t="inlineStr"/>
      <c r="D41" s="24" t="inlineStr"/>
      <c r="E41" s="25" t="inlineStr"/>
      <c r="F41" s="31" t="inlineStr">
        <is>
          <t>Gasto</t>
        </is>
      </c>
      <c r="G41" s="27">
        <f>IF(E41="",G40,IF(F41="Ingreso",G40+E41,G40-E41))</f>
        <v/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6" customHeight="1">
      <c r="A42" s="1" t="n"/>
      <c r="B42" s="22" t="inlineStr"/>
      <c r="C42" s="23" t="inlineStr"/>
      <c r="D42" s="24" t="inlineStr"/>
      <c r="E42" s="25" t="inlineStr"/>
      <c r="F42" s="31" t="inlineStr">
        <is>
          <t>Gasto</t>
        </is>
      </c>
      <c r="G42" s="27">
        <f>IF(E42="",G41,IF(F42="Ingreso",G41+E42,G41-E42))</f>
        <v/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16" customHeight="1">
      <c r="A43" s="1" t="n"/>
      <c r="B43" s="22" t="inlineStr"/>
      <c r="C43" s="23" t="inlineStr"/>
      <c r="D43" s="24" t="inlineStr"/>
      <c r="E43" s="25" t="inlineStr"/>
      <c r="F43" s="31" t="inlineStr">
        <is>
          <t>Gasto</t>
        </is>
      </c>
      <c r="G43" s="27">
        <f>IF(E43="",G42,IF(F43="Ingreso",G42+E43,G42-E43))</f>
        <v/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6" customHeight="1">
      <c r="A44" s="1" t="n"/>
      <c r="B44" s="22" t="inlineStr"/>
      <c r="C44" s="23" t="inlineStr"/>
      <c r="D44" s="24" t="inlineStr"/>
      <c r="E44" s="25" t="inlineStr"/>
      <c r="F44" s="31" t="inlineStr">
        <is>
          <t>Gasto</t>
        </is>
      </c>
      <c r="G44" s="27">
        <f>IF(E44="",G43,IF(F44="Ingreso",G43+E44,G43-E44))</f>
        <v/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6" customHeight="1">
      <c r="A45" s="1" t="n"/>
      <c r="B45" s="22" t="inlineStr"/>
      <c r="C45" s="23" t="inlineStr"/>
      <c r="D45" s="24" t="inlineStr"/>
      <c r="E45" s="25" t="inlineStr"/>
      <c r="F45" s="31" t="inlineStr">
        <is>
          <t>Gasto</t>
        </is>
      </c>
      <c r="G45" s="27">
        <f>IF(E45="",G44,IF(F45="Ingreso",G44+E45,G44-E45))</f>
        <v/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6" customHeight="1">
      <c r="A46" s="1" t="n"/>
      <c r="B46" s="22" t="inlineStr"/>
      <c r="C46" s="23" t="inlineStr"/>
      <c r="D46" s="24" t="inlineStr"/>
      <c r="E46" s="25" t="inlineStr"/>
      <c r="F46" s="31" t="inlineStr">
        <is>
          <t>Gasto</t>
        </is>
      </c>
      <c r="G46" s="27">
        <f>IF(E46="",G45,IF(F46="Ingreso",G45+E46,G45-E46))</f>
        <v/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6" customHeight="1">
      <c r="A47" s="1" t="n"/>
      <c r="B47" s="22" t="inlineStr"/>
      <c r="C47" s="23" t="inlineStr"/>
      <c r="D47" s="24" t="inlineStr"/>
      <c r="E47" s="25" t="inlineStr"/>
      <c r="F47" s="31" t="inlineStr">
        <is>
          <t>Gasto</t>
        </is>
      </c>
      <c r="G47" s="27">
        <f>IF(E47="",G46,IF(F47="Ingreso",G46+E47,G46-E47))</f>
        <v/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6" customHeight="1">
      <c r="A48" s="1" t="n"/>
      <c r="B48" s="22" t="inlineStr"/>
      <c r="C48" s="23" t="inlineStr"/>
      <c r="D48" s="24" t="inlineStr"/>
      <c r="E48" s="25" t="inlineStr"/>
      <c r="F48" s="31" t="inlineStr">
        <is>
          <t>Gasto</t>
        </is>
      </c>
      <c r="G48" s="27">
        <f>IF(E48="",G47,IF(F48="Ingreso",G47+E48,G47-E48))</f>
        <v/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 ht="16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 ht="1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 ht="16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 ht="16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 ht="16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 ht="1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 ht="1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 ht="1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 ht="1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 ht="1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 ht="1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 ht="1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 ht="1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 ht="1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 ht="1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 ht="1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 ht="1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</sheetData>
  <mergeCells count="3">
    <mergeCell ref="I7:M7"/>
    <mergeCell ref="B2:G2"/>
    <mergeCell ref="B7:G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18" customWidth="1" min="4" max="4"/>
    <col width="14" customWidth="1" min="5" max="5"/>
    <col width="12" customWidth="1" min="6" max="6"/>
    <col width="14" customWidth="1" min="7" max="7"/>
    <col width="2" customWidth="1" min="8" max="8"/>
    <col width="26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36" t="inlineStr">
        <is>
          <t>OCTUBRE  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6" customHeight="1">
      <c r="A4" s="1" t="n"/>
      <c r="B4" s="15" t="inlineStr">
        <is>
          <t>💰 INGRESOS</t>
        </is>
      </c>
      <c r="C4" s="15" t="inlineStr">
        <is>
          <t>💸 GASTOS</t>
        </is>
      </c>
      <c r="D4" s="15" t="inlineStr">
        <is>
          <t>💾 AHORRO</t>
        </is>
      </c>
      <c r="E4" s="15" t="inlineStr">
        <is>
          <t>% AHORRO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24" customHeight="1">
      <c r="A5" s="1" t="n"/>
      <c r="B5" s="16">
        <f>SUMIF(F8:F200,"Ingreso",E8:E200)</f>
        <v/>
      </c>
      <c r="C5" s="17">
        <f>SUMIF(F8:F200,"Gasto",E8:E200)</f>
        <v/>
      </c>
      <c r="D5" s="18">
        <f>SUMIF(F8:F200,"Ingreso",E8:E200)-SUMIF(F8:F200,"Gasto",E8:E200)</f>
        <v/>
      </c>
      <c r="E5" s="19">
        <f>IFERROR((SUMIF(F8:F200,"Ingreso",E8:E200)-SUMIF(F8:F200,"Gasto",E8:E200))/SUMIF(F8:F200,"Ingreso",E8:E200),0)</f>
        <v/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6" customHeight="1">
      <c r="A7" s="1" t="n"/>
      <c r="B7" s="37" t="inlineStr">
        <is>
          <t>📝  REGISTRO DE TRANSACCIONES</t>
        </is>
      </c>
      <c r="H7" s="1" t="n"/>
      <c r="I7" s="37" t="inlineStr">
        <is>
          <t>📊  PRESUPUESTO vs REAL</t>
        </is>
      </c>
      <c r="N7" s="1" t="n"/>
      <c r="O7" s="1" t="n"/>
      <c r="P7" s="1" t="n"/>
    </row>
    <row r="8" ht="16" customHeight="1">
      <c r="A8" s="1" t="n"/>
      <c r="B8" s="21" t="inlineStr">
        <is>
          <t>FECHA</t>
        </is>
      </c>
      <c r="C8" s="21" t="inlineStr">
        <is>
          <t>DESCRIPCIÓN</t>
        </is>
      </c>
      <c r="D8" s="21" t="inlineStr">
        <is>
          <t>CATEGORÍA</t>
        </is>
      </c>
      <c r="E8" s="21" t="inlineStr">
        <is>
          <t>MONTO</t>
        </is>
      </c>
      <c r="F8" s="21" t="inlineStr">
        <is>
          <t>TIPO</t>
        </is>
      </c>
      <c r="G8" s="21" t="inlineStr">
        <is>
          <t>ACUMULADO</t>
        </is>
      </c>
      <c r="H8" s="1" t="n"/>
      <c r="I8" s="21" t="inlineStr">
        <is>
          <t>CATEGORÍA</t>
        </is>
      </c>
      <c r="J8" s="21" t="inlineStr">
        <is>
          <t>PRESUPUESTO</t>
        </is>
      </c>
      <c r="K8" s="21" t="inlineStr">
        <is>
          <t>REAL</t>
        </is>
      </c>
      <c r="L8" s="21" t="inlineStr">
        <is>
          <t>DIFERENCIA</t>
        </is>
      </c>
      <c r="M8" s="21" t="inlineStr">
        <is>
          <t>ESTADO</t>
        </is>
      </c>
      <c r="N8" s="1" t="n"/>
      <c r="O8" s="1" t="n"/>
      <c r="P8" s="1" t="n"/>
    </row>
    <row r="9" ht="16" customHeight="1">
      <c r="A9" s="1" t="n"/>
      <c r="B9" s="22" t="inlineStr"/>
      <c r="C9" s="23" t="inlineStr"/>
      <c r="D9" s="24" t="inlineStr"/>
      <c r="E9" s="25" t="inlineStr"/>
      <c r="F9" s="26" t="inlineStr">
        <is>
          <t>Ingreso</t>
        </is>
      </c>
      <c r="G9" s="27">
        <f>IF(F9="Ingreso",E9,-E9)</f>
        <v/>
      </c>
      <c r="H9" s="1" t="n"/>
      <c r="I9" s="11">
        <f>'⚙️ Configuración'!B9</f>
        <v/>
      </c>
      <c r="J9" s="28">
        <f>'⚙️ Configuración'!C9</f>
        <v/>
      </c>
      <c r="K9" s="29">
        <f>SUMIF(D9:D48,I9,E9:E48)</f>
        <v/>
      </c>
      <c r="L9" s="30">
        <f>J9-K9</f>
        <v/>
      </c>
      <c r="M9" s="26">
        <f>IF(L9&gt;=0,"✅ OK","⚠️ Excedido")</f>
        <v/>
      </c>
      <c r="N9" s="1" t="n"/>
      <c r="O9" s="1" t="n"/>
      <c r="P9" s="1" t="n"/>
    </row>
    <row r="10" ht="16" customHeight="1">
      <c r="A10" s="1" t="n"/>
      <c r="B10" s="22" t="inlineStr"/>
      <c r="C10" s="23" t="inlineStr"/>
      <c r="D10" s="24" t="inlineStr"/>
      <c r="E10" s="25" t="inlineStr"/>
      <c r="F10" s="31" t="inlineStr">
        <is>
          <t>Gasto</t>
        </is>
      </c>
      <c r="G10" s="27">
        <f>IF(E10="",G9,IF(F10="Ingreso",G9+E10,G9-E10))</f>
        <v/>
      </c>
      <c r="H10" s="1" t="n"/>
      <c r="I10" s="11">
        <f>'⚙️ Configuración'!B10</f>
        <v/>
      </c>
      <c r="J10" s="28">
        <f>'⚙️ Configuración'!C10</f>
        <v/>
      </c>
      <c r="K10" s="29">
        <f>SUMIF(D9:D48,I10,E9:E48)</f>
        <v/>
      </c>
      <c r="L10" s="30">
        <f>J10-K10</f>
        <v/>
      </c>
      <c r="M10" s="26">
        <f>IF(L10&gt;=0,"✅ OK","⚠️ Excedido")</f>
        <v/>
      </c>
      <c r="N10" s="1" t="n"/>
      <c r="O10" s="1" t="n"/>
      <c r="P10" s="1" t="n"/>
    </row>
    <row r="11" ht="16" customHeight="1">
      <c r="A11" s="1" t="n"/>
      <c r="B11" s="22" t="inlineStr"/>
      <c r="C11" s="23" t="inlineStr"/>
      <c r="D11" s="24" t="inlineStr"/>
      <c r="E11" s="25" t="inlineStr"/>
      <c r="F11" s="31" t="inlineStr">
        <is>
          <t>Gasto</t>
        </is>
      </c>
      <c r="G11" s="27">
        <f>IF(E11="",G10,IF(F11="Ingreso",G10+E11,G10-E11))</f>
        <v/>
      </c>
      <c r="H11" s="1" t="n"/>
      <c r="I11" s="11">
        <f>'⚙️ Configuración'!B11</f>
        <v/>
      </c>
      <c r="J11" s="28">
        <f>'⚙️ Configuración'!C11</f>
        <v/>
      </c>
      <c r="K11" s="29">
        <f>SUMIF(D9:D48,I11,E9:E48)</f>
        <v/>
      </c>
      <c r="L11" s="30">
        <f>J11-K11</f>
        <v/>
      </c>
      <c r="M11" s="26">
        <f>IF(L11&gt;=0,"✅ OK","⚠️ Excedido")</f>
        <v/>
      </c>
      <c r="N11" s="1" t="n"/>
      <c r="O11" s="1" t="n"/>
      <c r="P11" s="1" t="n"/>
    </row>
    <row r="12" ht="16" customHeight="1">
      <c r="A12" s="1" t="n"/>
      <c r="B12" s="22" t="inlineStr"/>
      <c r="C12" s="23" t="inlineStr"/>
      <c r="D12" s="24" t="inlineStr"/>
      <c r="E12" s="25" t="inlineStr"/>
      <c r="F12" s="31" t="inlineStr">
        <is>
          <t>Gasto</t>
        </is>
      </c>
      <c r="G12" s="27">
        <f>IF(E12="",G11,IF(F12="Ingreso",G11+E12,G11-E12))</f>
        <v/>
      </c>
      <c r="H12" s="1" t="n"/>
      <c r="I12" s="11">
        <f>'⚙️ Configuración'!B12</f>
        <v/>
      </c>
      <c r="J12" s="28">
        <f>'⚙️ Configuración'!C12</f>
        <v/>
      </c>
      <c r="K12" s="29">
        <f>SUMIF(D9:D48,I12,E9:E48)</f>
        <v/>
      </c>
      <c r="L12" s="30">
        <f>J12-K12</f>
        <v/>
      </c>
      <c r="M12" s="26">
        <f>IF(L12&gt;=0,"✅ OK","⚠️ Excedido")</f>
        <v/>
      </c>
      <c r="N12" s="1" t="n"/>
      <c r="O12" s="1" t="n"/>
      <c r="P12" s="1" t="n"/>
    </row>
    <row r="13" ht="16" customHeight="1">
      <c r="A13" s="1" t="n"/>
      <c r="B13" s="22" t="inlineStr"/>
      <c r="C13" s="23" t="inlineStr"/>
      <c r="D13" s="24" t="inlineStr"/>
      <c r="E13" s="25" t="inlineStr"/>
      <c r="F13" s="31" t="inlineStr">
        <is>
          <t>Gasto</t>
        </is>
      </c>
      <c r="G13" s="27">
        <f>IF(E13="",G12,IF(F13="Ingreso",G12+E13,G12-E13))</f>
        <v/>
      </c>
      <c r="H13" s="1" t="n"/>
      <c r="I13" s="11">
        <f>'⚙️ Configuración'!B13</f>
        <v/>
      </c>
      <c r="J13" s="28">
        <f>'⚙️ Configuración'!C13</f>
        <v/>
      </c>
      <c r="K13" s="29">
        <f>SUMIF(D9:D48,I13,E9:E48)</f>
        <v/>
      </c>
      <c r="L13" s="30">
        <f>J13-K13</f>
        <v/>
      </c>
      <c r="M13" s="26">
        <f>IF(L13&gt;=0,"✅ OK","⚠️ Excedido")</f>
        <v/>
      </c>
      <c r="N13" s="1" t="n"/>
      <c r="O13" s="1" t="n"/>
      <c r="P13" s="1" t="n"/>
    </row>
    <row r="14" ht="16" customHeight="1">
      <c r="A14" s="1" t="n"/>
      <c r="B14" s="22" t="inlineStr"/>
      <c r="C14" s="23" t="inlineStr"/>
      <c r="D14" s="24" t="inlineStr"/>
      <c r="E14" s="25" t="inlineStr"/>
      <c r="F14" s="31" t="inlineStr">
        <is>
          <t>Gasto</t>
        </is>
      </c>
      <c r="G14" s="27">
        <f>IF(E14="",G13,IF(F14="Ingreso",G13+E14,G13-E14))</f>
        <v/>
      </c>
      <c r="H14" s="1" t="n"/>
      <c r="I14" s="11">
        <f>'⚙️ Configuración'!B14</f>
        <v/>
      </c>
      <c r="J14" s="28">
        <f>'⚙️ Configuración'!C14</f>
        <v/>
      </c>
      <c r="K14" s="29">
        <f>SUMIF(D9:D48,I14,E9:E48)</f>
        <v/>
      </c>
      <c r="L14" s="30">
        <f>J14-K14</f>
        <v/>
      </c>
      <c r="M14" s="26">
        <f>IF(L14&gt;=0,"✅ OK","⚠️ Excedido")</f>
        <v/>
      </c>
      <c r="N14" s="1" t="n"/>
      <c r="O14" s="1" t="n"/>
      <c r="P14" s="1" t="n"/>
    </row>
    <row r="15" ht="16" customHeight="1">
      <c r="A15" s="1" t="n"/>
      <c r="B15" s="22" t="inlineStr"/>
      <c r="C15" s="23" t="inlineStr"/>
      <c r="D15" s="24" t="inlineStr"/>
      <c r="E15" s="25" t="inlineStr"/>
      <c r="F15" s="31" t="inlineStr">
        <is>
          <t>Gasto</t>
        </is>
      </c>
      <c r="G15" s="27">
        <f>IF(E15="",G14,IF(F15="Ingreso",G14+E15,G14-E15))</f>
        <v/>
      </c>
      <c r="H15" s="1" t="n"/>
      <c r="I15" s="11">
        <f>'⚙️ Configuración'!B15</f>
        <v/>
      </c>
      <c r="J15" s="28">
        <f>'⚙️ Configuración'!C15</f>
        <v/>
      </c>
      <c r="K15" s="29">
        <f>SUMIF(D9:D48,I15,E9:E48)</f>
        <v/>
      </c>
      <c r="L15" s="30">
        <f>J15-K15</f>
        <v/>
      </c>
      <c r="M15" s="26">
        <f>IF(L15&gt;=0,"✅ OK","⚠️ Excedido")</f>
        <v/>
      </c>
      <c r="N15" s="1" t="n"/>
      <c r="O15" s="1" t="n"/>
      <c r="P15" s="1" t="n"/>
    </row>
    <row r="16" ht="16" customHeight="1">
      <c r="A16" s="1" t="n"/>
      <c r="B16" s="22" t="inlineStr"/>
      <c r="C16" s="23" t="inlineStr"/>
      <c r="D16" s="24" t="inlineStr"/>
      <c r="E16" s="25" t="inlineStr"/>
      <c r="F16" s="31" t="inlineStr">
        <is>
          <t>Gasto</t>
        </is>
      </c>
      <c r="G16" s="27">
        <f>IF(E16="",G15,IF(F16="Ingreso",G15+E16,G15-E16))</f>
        <v/>
      </c>
      <c r="H16" s="1" t="n"/>
      <c r="I16" s="11">
        <f>'⚙️ Configuración'!B16</f>
        <v/>
      </c>
      <c r="J16" s="28">
        <f>'⚙️ Configuración'!C16</f>
        <v/>
      </c>
      <c r="K16" s="29">
        <f>SUMIF(D9:D48,I16,E9:E48)</f>
        <v/>
      </c>
      <c r="L16" s="30">
        <f>J16-K16</f>
        <v/>
      </c>
      <c r="M16" s="26">
        <f>IF(L16&gt;=0,"✅ OK","⚠️ Excedido")</f>
        <v/>
      </c>
      <c r="N16" s="1" t="n"/>
      <c r="O16" s="1" t="n"/>
      <c r="P16" s="1" t="n"/>
    </row>
    <row r="17" ht="16" customHeight="1">
      <c r="A17" s="1" t="n"/>
      <c r="B17" s="22" t="inlineStr"/>
      <c r="C17" s="23" t="inlineStr"/>
      <c r="D17" s="24" t="inlineStr"/>
      <c r="E17" s="25" t="inlineStr"/>
      <c r="F17" s="31" t="inlineStr">
        <is>
          <t>Gasto</t>
        </is>
      </c>
      <c r="G17" s="27">
        <f>IF(E17="",G16,IF(F17="Ingreso",G16+E17,G16-E17))</f>
        <v/>
      </c>
      <c r="H17" s="1" t="n"/>
      <c r="I17" s="11">
        <f>'⚙️ Configuración'!B17</f>
        <v/>
      </c>
      <c r="J17" s="28">
        <f>'⚙️ Configuración'!C17</f>
        <v/>
      </c>
      <c r="K17" s="29">
        <f>SUMIF(D9:D48,I17,E9:E48)</f>
        <v/>
      </c>
      <c r="L17" s="30">
        <f>J17-K17</f>
        <v/>
      </c>
      <c r="M17" s="26">
        <f>IF(L17&gt;=0,"✅ OK","⚠️ Excedido")</f>
        <v/>
      </c>
      <c r="N17" s="1" t="n"/>
      <c r="O17" s="1" t="n"/>
      <c r="P17" s="1" t="n"/>
    </row>
    <row r="18" ht="16" customHeight="1">
      <c r="A18" s="1" t="n"/>
      <c r="B18" s="22" t="inlineStr"/>
      <c r="C18" s="23" t="inlineStr"/>
      <c r="D18" s="24" t="inlineStr"/>
      <c r="E18" s="25" t="inlineStr"/>
      <c r="F18" s="31" t="inlineStr">
        <is>
          <t>Gasto</t>
        </is>
      </c>
      <c r="G18" s="27">
        <f>IF(E18="",G17,IF(F18="Ingreso",G17+E18,G17-E18))</f>
        <v/>
      </c>
      <c r="H18" s="1" t="n"/>
      <c r="I18" s="11">
        <f>'⚙️ Configuración'!B18</f>
        <v/>
      </c>
      <c r="J18" s="28">
        <f>'⚙️ Configuración'!C18</f>
        <v/>
      </c>
      <c r="K18" s="29">
        <f>SUMIF(D9:D48,I18,E9:E48)</f>
        <v/>
      </c>
      <c r="L18" s="30">
        <f>J18-K18</f>
        <v/>
      </c>
      <c r="M18" s="26">
        <f>IF(L18&gt;=0,"✅ OK","⚠️ Excedido")</f>
        <v/>
      </c>
      <c r="N18" s="1" t="n"/>
      <c r="O18" s="1" t="n"/>
      <c r="P18" s="1" t="n"/>
    </row>
    <row r="19" ht="16" customHeight="1">
      <c r="A19" s="1" t="n"/>
      <c r="B19" s="22" t="inlineStr"/>
      <c r="C19" s="23" t="inlineStr"/>
      <c r="D19" s="24" t="inlineStr"/>
      <c r="E19" s="25" t="inlineStr"/>
      <c r="F19" s="31" t="inlineStr">
        <is>
          <t>Gasto</t>
        </is>
      </c>
      <c r="G19" s="27">
        <f>IF(E19="",G18,IF(F19="Ingreso",G18+E19,G18-E19))</f>
        <v/>
      </c>
      <c r="H19" s="1" t="n"/>
      <c r="I19" s="11">
        <f>'⚙️ Configuración'!B19</f>
        <v/>
      </c>
      <c r="J19" s="28">
        <f>'⚙️ Configuración'!C19</f>
        <v/>
      </c>
      <c r="K19" s="29">
        <f>SUMIF(D9:D48,I19,E9:E48)</f>
        <v/>
      </c>
      <c r="L19" s="30">
        <f>J19-K19</f>
        <v/>
      </c>
      <c r="M19" s="26">
        <f>IF(L19&gt;=0,"✅ OK","⚠️ Excedido")</f>
        <v/>
      </c>
      <c r="N19" s="1" t="n"/>
      <c r="O19" s="1" t="n"/>
      <c r="P19" s="1" t="n"/>
    </row>
    <row r="20" ht="16" customHeight="1">
      <c r="A20" s="1" t="n"/>
      <c r="B20" s="22" t="inlineStr"/>
      <c r="C20" s="23" t="inlineStr"/>
      <c r="D20" s="24" t="inlineStr"/>
      <c r="E20" s="25" t="inlineStr"/>
      <c r="F20" s="31" t="inlineStr">
        <is>
          <t>Gasto</t>
        </is>
      </c>
      <c r="G20" s="27">
        <f>IF(E20="",G19,IF(F20="Ingreso",G19+E20,G19-E20))</f>
        <v/>
      </c>
      <c r="H20" s="1" t="n"/>
      <c r="I20" s="11">
        <f>'⚙️ Configuración'!B20</f>
        <v/>
      </c>
      <c r="J20" s="28">
        <f>'⚙️ Configuración'!C20</f>
        <v/>
      </c>
      <c r="K20" s="29">
        <f>SUMIF(D9:D48,I20,E9:E48)</f>
        <v/>
      </c>
      <c r="L20" s="30">
        <f>J20-K20</f>
        <v/>
      </c>
      <c r="M20" s="26">
        <f>IF(L20&gt;=0,"✅ OK","⚠️ Excedido")</f>
        <v/>
      </c>
      <c r="N20" s="1" t="n"/>
      <c r="O20" s="1" t="n"/>
      <c r="P20" s="1" t="n"/>
    </row>
    <row r="21" ht="16" customHeight="1">
      <c r="A21" s="1" t="n"/>
      <c r="B21" s="22" t="inlineStr"/>
      <c r="C21" s="23" t="inlineStr"/>
      <c r="D21" s="24" t="inlineStr"/>
      <c r="E21" s="25" t="inlineStr"/>
      <c r="F21" s="31" t="inlineStr">
        <is>
          <t>Gasto</t>
        </is>
      </c>
      <c r="G21" s="27">
        <f>IF(E21="",G20,IF(F21="Ingreso",G20+E21,G20-E21))</f>
        <v/>
      </c>
      <c r="H21" s="1" t="n"/>
      <c r="I21" s="11">
        <f>'⚙️ Configuración'!B21</f>
        <v/>
      </c>
      <c r="J21" s="28">
        <f>'⚙️ Configuración'!C21</f>
        <v/>
      </c>
      <c r="K21" s="29">
        <f>SUMIF(D9:D48,I21,E9:E48)</f>
        <v/>
      </c>
      <c r="L21" s="30">
        <f>J21-K21</f>
        <v/>
      </c>
      <c r="M21" s="26">
        <f>IF(L21&gt;=0,"✅ OK","⚠️ Excedido")</f>
        <v/>
      </c>
      <c r="N21" s="1" t="n"/>
      <c r="O21" s="1" t="n"/>
      <c r="P21" s="1" t="n"/>
    </row>
    <row r="22" ht="16" customHeight="1">
      <c r="A22" s="1" t="n"/>
      <c r="B22" s="22" t="inlineStr"/>
      <c r="C22" s="23" t="inlineStr"/>
      <c r="D22" s="24" t="inlineStr"/>
      <c r="E22" s="25" t="inlineStr"/>
      <c r="F22" s="31" t="inlineStr">
        <is>
          <t>Gasto</t>
        </is>
      </c>
      <c r="G22" s="27">
        <f>IF(E22="",G21,IF(F22="Ingreso",G21+E22,G21-E22))</f>
        <v/>
      </c>
      <c r="H22" s="1" t="n"/>
      <c r="I22" s="11">
        <f>'⚙️ Configuración'!B22</f>
        <v/>
      </c>
      <c r="J22" s="28">
        <f>'⚙️ Configuración'!C22</f>
        <v/>
      </c>
      <c r="K22" s="29">
        <f>SUMIF(D9:D48,I22,E9:E48)</f>
        <v/>
      </c>
      <c r="L22" s="30">
        <f>J22-K22</f>
        <v/>
      </c>
      <c r="M22" s="26">
        <f>IF(L22&gt;=0,"✅ OK","⚠️ Excedido")</f>
        <v/>
      </c>
      <c r="N22" s="1" t="n"/>
      <c r="O22" s="1" t="n"/>
      <c r="P22" s="1" t="n"/>
    </row>
    <row r="23" ht="16" customHeight="1">
      <c r="A23" s="1" t="n"/>
      <c r="B23" s="22" t="inlineStr"/>
      <c r="C23" s="23" t="inlineStr"/>
      <c r="D23" s="24" t="inlineStr"/>
      <c r="E23" s="25" t="inlineStr"/>
      <c r="F23" s="31" t="inlineStr">
        <is>
          <t>Gasto</t>
        </is>
      </c>
      <c r="G23" s="27">
        <f>IF(E23="",G22,IF(F23="Ingreso",G22+E23,G22-E23))</f>
        <v/>
      </c>
      <c r="H23" s="1" t="n"/>
      <c r="I23" s="11">
        <f>'⚙️ Configuración'!B23</f>
        <v/>
      </c>
      <c r="J23" s="28">
        <f>'⚙️ Configuración'!C23</f>
        <v/>
      </c>
      <c r="K23" s="29">
        <f>SUMIF(D9:D48,I23,E9:E48)</f>
        <v/>
      </c>
      <c r="L23" s="30">
        <f>J23-K23</f>
        <v/>
      </c>
      <c r="M23" s="26">
        <f>IF(L23&gt;=0,"✅ OK","⚠️ Excedido")</f>
        <v/>
      </c>
      <c r="N23" s="1" t="n"/>
      <c r="O23" s="1" t="n"/>
      <c r="P23" s="1" t="n"/>
    </row>
    <row r="24" ht="16" customHeight="1">
      <c r="A24" s="1" t="n"/>
      <c r="B24" s="22" t="inlineStr"/>
      <c r="C24" s="23" t="inlineStr"/>
      <c r="D24" s="24" t="inlineStr"/>
      <c r="E24" s="25" t="inlineStr"/>
      <c r="F24" s="31" t="inlineStr">
        <is>
          <t>Gasto</t>
        </is>
      </c>
      <c r="G24" s="27">
        <f>IF(E24="",G23,IF(F24="Ingreso",G23+E24,G23-E24))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6" customHeight="1">
      <c r="A25" s="1" t="n"/>
      <c r="B25" s="22" t="inlineStr"/>
      <c r="C25" s="23" t="inlineStr"/>
      <c r="D25" s="24" t="inlineStr"/>
      <c r="E25" s="25" t="inlineStr"/>
      <c r="F25" s="31" t="inlineStr">
        <is>
          <t>Gasto</t>
        </is>
      </c>
      <c r="G25" s="27">
        <f>IF(E25="",G24,IF(F25="Ingreso",G24+E25,G24-E25))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6" customHeight="1">
      <c r="A26" s="1" t="n"/>
      <c r="B26" s="22" t="inlineStr"/>
      <c r="C26" s="23" t="inlineStr"/>
      <c r="D26" s="24" t="inlineStr"/>
      <c r="E26" s="25" t="inlineStr"/>
      <c r="F26" s="31" t="inlineStr">
        <is>
          <t>Gasto</t>
        </is>
      </c>
      <c r="G26" s="27">
        <f>IF(E26="",G25,IF(F26="Ingreso",G25+E26,G25-E26))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6" customHeight="1">
      <c r="A27" s="1" t="n"/>
      <c r="B27" s="22" t="inlineStr"/>
      <c r="C27" s="23" t="inlineStr"/>
      <c r="D27" s="24" t="inlineStr"/>
      <c r="E27" s="25" t="inlineStr"/>
      <c r="F27" s="31" t="inlineStr">
        <is>
          <t>Gasto</t>
        </is>
      </c>
      <c r="G27" s="27">
        <f>IF(E27="",G26,IF(F27="Ingreso",G26+E27,G26-E27))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6" customHeight="1">
      <c r="A28" s="1" t="n"/>
      <c r="B28" s="22" t="inlineStr"/>
      <c r="C28" s="23" t="inlineStr"/>
      <c r="D28" s="24" t="inlineStr"/>
      <c r="E28" s="25" t="inlineStr"/>
      <c r="F28" s="31" t="inlineStr">
        <is>
          <t>Gasto</t>
        </is>
      </c>
      <c r="G28" s="27">
        <f>IF(E28="",G27,IF(F28="Ingreso",G27+E28,G27-E28))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6" customHeight="1">
      <c r="A29" s="1" t="n"/>
      <c r="B29" s="22" t="inlineStr"/>
      <c r="C29" s="23" t="inlineStr"/>
      <c r="D29" s="24" t="inlineStr"/>
      <c r="E29" s="25" t="inlineStr"/>
      <c r="F29" s="31" t="inlineStr">
        <is>
          <t>Gasto</t>
        </is>
      </c>
      <c r="G29" s="27">
        <f>IF(E29="",G28,IF(F29="Ingreso",G28+E29,G28-E29))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6" customHeight="1">
      <c r="A30" s="1" t="n"/>
      <c r="B30" s="22" t="inlineStr"/>
      <c r="C30" s="23" t="inlineStr"/>
      <c r="D30" s="24" t="inlineStr"/>
      <c r="E30" s="25" t="inlineStr"/>
      <c r="F30" s="31" t="inlineStr">
        <is>
          <t>Gasto</t>
        </is>
      </c>
      <c r="G30" s="27">
        <f>IF(E30="",G29,IF(F30="Ingreso",G29+E30,G29-E30))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6" customHeight="1">
      <c r="A31" s="1" t="n"/>
      <c r="B31" s="22" t="inlineStr"/>
      <c r="C31" s="23" t="inlineStr"/>
      <c r="D31" s="24" t="inlineStr"/>
      <c r="E31" s="25" t="inlineStr"/>
      <c r="F31" s="31" t="inlineStr">
        <is>
          <t>Gasto</t>
        </is>
      </c>
      <c r="G31" s="27">
        <f>IF(E31="",G30,IF(F31="Ingreso",G30+E31,G30-E31))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6" customHeight="1">
      <c r="A32" s="1" t="n"/>
      <c r="B32" s="22" t="inlineStr"/>
      <c r="C32" s="23" t="inlineStr"/>
      <c r="D32" s="24" t="inlineStr"/>
      <c r="E32" s="25" t="inlineStr"/>
      <c r="F32" s="31" t="inlineStr">
        <is>
          <t>Gasto</t>
        </is>
      </c>
      <c r="G32" s="27">
        <f>IF(E32="",G31,IF(F32="Ingreso",G31+E32,G31-E32))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6" customHeight="1">
      <c r="A33" s="1" t="n"/>
      <c r="B33" s="22" t="inlineStr"/>
      <c r="C33" s="23" t="inlineStr"/>
      <c r="D33" s="24" t="inlineStr"/>
      <c r="E33" s="25" t="inlineStr"/>
      <c r="F33" s="31" t="inlineStr">
        <is>
          <t>Gasto</t>
        </is>
      </c>
      <c r="G33" s="27">
        <f>IF(E33="",G32,IF(F33="Ingreso",G32+E33,G32-E33))</f>
        <v/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6" customHeight="1">
      <c r="A34" s="1" t="n"/>
      <c r="B34" s="22" t="inlineStr"/>
      <c r="C34" s="23" t="inlineStr"/>
      <c r="D34" s="24" t="inlineStr"/>
      <c r="E34" s="25" t="inlineStr"/>
      <c r="F34" s="31" t="inlineStr">
        <is>
          <t>Gasto</t>
        </is>
      </c>
      <c r="G34" s="27">
        <f>IF(E34="",G33,IF(F34="Ingreso",G33+E34,G33-E34))</f>
        <v/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6" customHeight="1">
      <c r="A35" s="1" t="n"/>
      <c r="B35" s="22" t="inlineStr"/>
      <c r="C35" s="23" t="inlineStr"/>
      <c r="D35" s="24" t="inlineStr"/>
      <c r="E35" s="25" t="inlineStr"/>
      <c r="F35" s="31" t="inlineStr">
        <is>
          <t>Gasto</t>
        </is>
      </c>
      <c r="G35" s="27">
        <f>IF(E35="",G34,IF(F35="Ingreso",G34+E35,G34-E35))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6" customHeight="1">
      <c r="A36" s="1" t="n"/>
      <c r="B36" s="22" t="inlineStr"/>
      <c r="C36" s="23" t="inlineStr"/>
      <c r="D36" s="24" t="inlineStr"/>
      <c r="E36" s="25" t="inlineStr"/>
      <c r="F36" s="31" t="inlineStr">
        <is>
          <t>Gasto</t>
        </is>
      </c>
      <c r="G36" s="27">
        <f>IF(E36="",G35,IF(F36="Ingreso",G35+E36,G35-E36))</f>
        <v/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6" customHeight="1">
      <c r="A37" s="1" t="n"/>
      <c r="B37" s="22" t="inlineStr"/>
      <c r="C37" s="23" t="inlineStr"/>
      <c r="D37" s="24" t="inlineStr"/>
      <c r="E37" s="25" t="inlineStr"/>
      <c r="F37" s="31" t="inlineStr">
        <is>
          <t>Gasto</t>
        </is>
      </c>
      <c r="G37" s="27">
        <f>IF(E37="",G36,IF(F37="Ingreso",G36+E37,G36-E37))</f>
        <v/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6" customHeight="1">
      <c r="A38" s="1" t="n"/>
      <c r="B38" s="22" t="inlineStr"/>
      <c r="C38" s="23" t="inlineStr"/>
      <c r="D38" s="24" t="inlineStr"/>
      <c r="E38" s="25" t="inlineStr"/>
      <c r="F38" s="31" t="inlineStr">
        <is>
          <t>Gasto</t>
        </is>
      </c>
      <c r="G38" s="27">
        <f>IF(E38="",G37,IF(F38="Ingreso",G37+E38,G37-E38))</f>
        <v/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6" customHeight="1">
      <c r="A39" s="1" t="n"/>
      <c r="B39" s="22" t="inlineStr"/>
      <c r="C39" s="23" t="inlineStr"/>
      <c r="D39" s="24" t="inlineStr"/>
      <c r="E39" s="25" t="inlineStr"/>
      <c r="F39" s="31" t="inlineStr">
        <is>
          <t>Gasto</t>
        </is>
      </c>
      <c r="G39" s="27">
        <f>IF(E39="",G38,IF(F39="Ingreso",G38+E39,G38-E39))</f>
        <v/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6" customHeight="1">
      <c r="A40" s="1" t="n"/>
      <c r="B40" s="22" t="inlineStr"/>
      <c r="C40" s="23" t="inlineStr"/>
      <c r="D40" s="24" t="inlineStr"/>
      <c r="E40" s="25" t="inlineStr"/>
      <c r="F40" s="31" t="inlineStr">
        <is>
          <t>Gasto</t>
        </is>
      </c>
      <c r="G40" s="27">
        <f>IF(E40="",G39,IF(F40="Ingreso",G39+E40,G39-E40))</f>
        <v/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16" customHeight="1">
      <c r="A41" s="1" t="n"/>
      <c r="B41" s="22" t="inlineStr"/>
      <c r="C41" s="23" t="inlineStr"/>
      <c r="D41" s="24" t="inlineStr"/>
      <c r="E41" s="25" t="inlineStr"/>
      <c r="F41" s="31" t="inlineStr">
        <is>
          <t>Gasto</t>
        </is>
      </c>
      <c r="G41" s="27">
        <f>IF(E41="",G40,IF(F41="Ingreso",G40+E41,G40-E41))</f>
        <v/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6" customHeight="1">
      <c r="A42" s="1" t="n"/>
      <c r="B42" s="22" t="inlineStr"/>
      <c r="C42" s="23" t="inlineStr"/>
      <c r="D42" s="24" t="inlineStr"/>
      <c r="E42" s="25" t="inlineStr"/>
      <c r="F42" s="31" t="inlineStr">
        <is>
          <t>Gasto</t>
        </is>
      </c>
      <c r="G42" s="27">
        <f>IF(E42="",G41,IF(F42="Ingreso",G41+E42,G41-E42))</f>
        <v/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16" customHeight="1">
      <c r="A43" s="1" t="n"/>
      <c r="B43" s="22" t="inlineStr"/>
      <c r="C43" s="23" t="inlineStr"/>
      <c r="D43" s="24" t="inlineStr"/>
      <c r="E43" s="25" t="inlineStr"/>
      <c r="F43" s="31" t="inlineStr">
        <is>
          <t>Gasto</t>
        </is>
      </c>
      <c r="G43" s="27">
        <f>IF(E43="",G42,IF(F43="Ingreso",G42+E43,G42-E43))</f>
        <v/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6" customHeight="1">
      <c r="A44" s="1" t="n"/>
      <c r="B44" s="22" t="inlineStr"/>
      <c r="C44" s="23" t="inlineStr"/>
      <c r="D44" s="24" t="inlineStr"/>
      <c r="E44" s="25" t="inlineStr"/>
      <c r="F44" s="31" t="inlineStr">
        <is>
          <t>Gasto</t>
        </is>
      </c>
      <c r="G44" s="27">
        <f>IF(E44="",G43,IF(F44="Ingreso",G43+E44,G43-E44))</f>
        <v/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6" customHeight="1">
      <c r="A45" s="1" t="n"/>
      <c r="B45" s="22" t="inlineStr"/>
      <c r="C45" s="23" t="inlineStr"/>
      <c r="D45" s="24" t="inlineStr"/>
      <c r="E45" s="25" t="inlineStr"/>
      <c r="F45" s="31" t="inlineStr">
        <is>
          <t>Gasto</t>
        </is>
      </c>
      <c r="G45" s="27">
        <f>IF(E45="",G44,IF(F45="Ingreso",G44+E45,G44-E45))</f>
        <v/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6" customHeight="1">
      <c r="A46" s="1" t="n"/>
      <c r="B46" s="22" t="inlineStr"/>
      <c r="C46" s="23" t="inlineStr"/>
      <c r="D46" s="24" t="inlineStr"/>
      <c r="E46" s="25" t="inlineStr"/>
      <c r="F46" s="31" t="inlineStr">
        <is>
          <t>Gasto</t>
        </is>
      </c>
      <c r="G46" s="27">
        <f>IF(E46="",G45,IF(F46="Ingreso",G45+E46,G45-E46))</f>
        <v/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6" customHeight="1">
      <c r="A47" s="1" t="n"/>
      <c r="B47" s="22" t="inlineStr"/>
      <c r="C47" s="23" t="inlineStr"/>
      <c r="D47" s="24" t="inlineStr"/>
      <c r="E47" s="25" t="inlineStr"/>
      <c r="F47" s="31" t="inlineStr">
        <is>
          <t>Gasto</t>
        </is>
      </c>
      <c r="G47" s="27">
        <f>IF(E47="",G46,IF(F47="Ingreso",G46+E47,G46-E47))</f>
        <v/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6" customHeight="1">
      <c r="A48" s="1" t="n"/>
      <c r="B48" s="22" t="inlineStr"/>
      <c r="C48" s="23" t="inlineStr"/>
      <c r="D48" s="24" t="inlineStr"/>
      <c r="E48" s="25" t="inlineStr"/>
      <c r="F48" s="31" t="inlineStr">
        <is>
          <t>Gasto</t>
        </is>
      </c>
      <c r="G48" s="27">
        <f>IF(E48="",G47,IF(F48="Ingreso",G47+E48,G47-E48))</f>
        <v/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 ht="16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 ht="1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 ht="16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 ht="16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 ht="16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 ht="1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 ht="1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 ht="1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 ht="1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 ht="1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 ht="1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 ht="1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 ht="1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 ht="1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 ht="1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 ht="1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 ht="1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</sheetData>
  <mergeCells count="3">
    <mergeCell ref="I7:M7"/>
    <mergeCell ref="B2:G2"/>
    <mergeCell ref="B7:G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18" customWidth="1" min="4" max="4"/>
    <col width="14" customWidth="1" min="5" max="5"/>
    <col width="12" customWidth="1" min="6" max="6"/>
    <col width="14" customWidth="1" min="7" max="7"/>
    <col width="2" customWidth="1" min="8" max="8"/>
    <col width="26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38" t="inlineStr">
        <is>
          <t>NOVIEMBRE  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6" customHeight="1">
      <c r="A4" s="1" t="n"/>
      <c r="B4" s="15" t="inlineStr">
        <is>
          <t>💰 INGRESOS</t>
        </is>
      </c>
      <c r="C4" s="15" t="inlineStr">
        <is>
          <t>💸 GASTOS</t>
        </is>
      </c>
      <c r="D4" s="15" t="inlineStr">
        <is>
          <t>💾 AHORRO</t>
        </is>
      </c>
      <c r="E4" s="15" t="inlineStr">
        <is>
          <t>% AHORRO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24" customHeight="1">
      <c r="A5" s="1" t="n"/>
      <c r="B5" s="16">
        <f>SUMIF(F8:F200,"Ingreso",E8:E200)</f>
        <v/>
      </c>
      <c r="C5" s="17">
        <f>SUMIF(F8:F200,"Gasto",E8:E200)</f>
        <v/>
      </c>
      <c r="D5" s="18">
        <f>SUMIF(F8:F200,"Ingreso",E8:E200)-SUMIF(F8:F200,"Gasto",E8:E200)</f>
        <v/>
      </c>
      <c r="E5" s="19">
        <f>IFERROR((SUMIF(F8:F200,"Ingreso",E8:E200)-SUMIF(F8:F200,"Gasto",E8:E200))/SUMIF(F8:F200,"Ingreso",E8:E200),0)</f>
        <v/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6" customHeight="1">
      <c r="A7" s="1" t="n"/>
      <c r="B7" s="39" t="inlineStr">
        <is>
          <t>📝  REGISTRO DE TRANSACCIONES</t>
        </is>
      </c>
      <c r="H7" s="1" t="n"/>
      <c r="I7" s="39" t="inlineStr">
        <is>
          <t>📊  PRESUPUESTO vs REAL</t>
        </is>
      </c>
      <c r="N7" s="1" t="n"/>
      <c r="O7" s="1" t="n"/>
      <c r="P7" s="1" t="n"/>
    </row>
    <row r="8" ht="16" customHeight="1">
      <c r="A8" s="1" t="n"/>
      <c r="B8" s="21" t="inlineStr">
        <is>
          <t>FECHA</t>
        </is>
      </c>
      <c r="C8" s="21" t="inlineStr">
        <is>
          <t>DESCRIPCIÓN</t>
        </is>
      </c>
      <c r="D8" s="21" t="inlineStr">
        <is>
          <t>CATEGORÍA</t>
        </is>
      </c>
      <c r="E8" s="21" t="inlineStr">
        <is>
          <t>MONTO</t>
        </is>
      </c>
      <c r="F8" s="21" t="inlineStr">
        <is>
          <t>TIPO</t>
        </is>
      </c>
      <c r="G8" s="21" t="inlineStr">
        <is>
          <t>ACUMULADO</t>
        </is>
      </c>
      <c r="H8" s="1" t="n"/>
      <c r="I8" s="21" t="inlineStr">
        <is>
          <t>CATEGORÍA</t>
        </is>
      </c>
      <c r="J8" s="21" t="inlineStr">
        <is>
          <t>PRESUPUESTO</t>
        </is>
      </c>
      <c r="K8" s="21" t="inlineStr">
        <is>
          <t>REAL</t>
        </is>
      </c>
      <c r="L8" s="21" t="inlineStr">
        <is>
          <t>DIFERENCIA</t>
        </is>
      </c>
      <c r="M8" s="21" t="inlineStr">
        <is>
          <t>ESTADO</t>
        </is>
      </c>
      <c r="N8" s="1" t="n"/>
      <c r="O8" s="1" t="n"/>
      <c r="P8" s="1" t="n"/>
    </row>
    <row r="9" ht="16" customHeight="1">
      <c r="A9" s="1" t="n"/>
      <c r="B9" s="22" t="inlineStr"/>
      <c r="C9" s="23" t="inlineStr"/>
      <c r="D9" s="24" t="inlineStr"/>
      <c r="E9" s="25" t="inlineStr"/>
      <c r="F9" s="26" t="inlineStr">
        <is>
          <t>Ingreso</t>
        </is>
      </c>
      <c r="G9" s="27">
        <f>IF(F9="Ingreso",E9,-E9)</f>
        <v/>
      </c>
      <c r="H9" s="1" t="n"/>
      <c r="I9" s="11">
        <f>'⚙️ Configuración'!B9</f>
        <v/>
      </c>
      <c r="J9" s="28">
        <f>'⚙️ Configuración'!C9</f>
        <v/>
      </c>
      <c r="K9" s="29">
        <f>SUMIF(D9:D48,I9,E9:E48)</f>
        <v/>
      </c>
      <c r="L9" s="30">
        <f>J9-K9</f>
        <v/>
      </c>
      <c r="M9" s="26">
        <f>IF(L9&gt;=0,"✅ OK","⚠️ Excedido")</f>
        <v/>
      </c>
      <c r="N9" s="1" t="n"/>
      <c r="O9" s="1" t="n"/>
      <c r="P9" s="1" t="n"/>
    </row>
    <row r="10" ht="16" customHeight="1">
      <c r="A10" s="1" t="n"/>
      <c r="B10" s="22" t="inlineStr"/>
      <c r="C10" s="23" t="inlineStr"/>
      <c r="D10" s="24" t="inlineStr"/>
      <c r="E10" s="25" t="inlineStr"/>
      <c r="F10" s="31" t="inlineStr">
        <is>
          <t>Gasto</t>
        </is>
      </c>
      <c r="G10" s="27">
        <f>IF(E10="",G9,IF(F10="Ingreso",G9+E10,G9-E10))</f>
        <v/>
      </c>
      <c r="H10" s="1" t="n"/>
      <c r="I10" s="11">
        <f>'⚙️ Configuración'!B10</f>
        <v/>
      </c>
      <c r="J10" s="28">
        <f>'⚙️ Configuración'!C10</f>
        <v/>
      </c>
      <c r="K10" s="29">
        <f>SUMIF(D9:D48,I10,E9:E48)</f>
        <v/>
      </c>
      <c r="L10" s="30">
        <f>J10-K10</f>
        <v/>
      </c>
      <c r="M10" s="26">
        <f>IF(L10&gt;=0,"✅ OK","⚠️ Excedido")</f>
        <v/>
      </c>
      <c r="N10" s="1" t="n"/>
      <c r="O10" s="1" t="n"/>
      <c r="P10" s="1" t="n"/>
    </row>
    <row r="11" ht="16" customHeight="1">
      <c r="A11" s="1" t="n"/>
      <c r="B11" s="22" t="inlineStr"/>
      <c r="C11" s="23" t="inlineStr"/>
      <c r="D11" s="24" t="inlineStr"/>
      <c r="E11" s="25" t="inlineStr"/>
      <c r="F11" s="31" t="inlineStr">
        <is>
          <t>Gasto</t>
        </is>
      </c>
      <c r="G11" s="27">
        <f>IF(E11="",G10,IF(F11="Ingreso",G10+E11,G10-E11))</f>
        <v/>
      </c>
      <c r="H11" s="1" t="n"/>
      <c r="I11" s="11">
        <f>'⚙️ Configuración'!B11</f>
        <v/>
      </c>
      <c r="J11" s="28">
        <f>'⚙️ Configuración'!C11</f>
        <v/>
      </c>
      <c r="K11" s="29">
        <f>SUMIF(D9:D48,I11,E9:E48)</f>
        <v/>
      </c>
      <c r="L11" s="30">
        <f>J11-K11</f>
        <v/>
      </c>
      <c r="M11" s="26">
        <f>IF(L11&gt;=0,"✅ OK","⚠️ Excedido")</f>
        <v/>
      </c>
      <c r="N11" s="1" t="n"/>
      <c r="O11" s="1" t="n"/>
      <c r="P11" s="1" t="n"/>
    </row>
    <row r="12" ht="16" customHeight="1">
      <c r="A12" s="1" t="n"/>
      <c r="B12" s="22" t="inlineStr"/>
      <c r="C12" s="23" t="inlineStr"/>
      <c r="D12" s="24" t="inlineStr"/>
      <c r="E12" s="25" t="inlineStr"/>
      <c r="F12" s="31" t="inlineStr">
        <is>
          <t>Gasto</t>
        </is>
      </c>
      <c r="G12" s="27">
        <f>IF(E12="",G11,IF(F12="Ingreso",G11+E12,G11-E12))</f>
        <v/>
      </c>
      <c r="H12" s="1" t="n"/>
      <c r="I12" s="11">
        <f>'⚙️ Configuración'!B12</f>
        <v/>
      </c>
      <c r="J12" s="28">
        <f>'⚙️ Configuración'!C12</f>
        <v/>
      </c>
      <c r="K12" s="29">
        <f>SUMIF(D9:D48,I12,E9:E48)</f>
        <v/>
      </c>
      <c r="L12" s="30">
        <f>J12-K12</f>
        <v/>
      </c>
      <c r="M12" s="26">
        <f>IF(L12&gt;=0,"✅ OK","⚠️ Excedido")</f>
        <v/>
      </c>
      <c r="N12" s="1" t="n"/>
      <c r="O12" s="1" t="n"/>
      <c r="P12" s="1" t="n"/>
    </row>
    <row r="13" ht="16" customHeight="1">
      <c r="A13" s="1" t="n"/>
      <c r="B13" s="22" t="inlineStr"/>
      <c r="C13" s="23" t="inlineStr"/>
      <c r="D13" s="24" t="inlineStr"/>
      <c r="E13" s="25" t="inlineStr"/>
      <c r="F13" s="31" t="inlineStr">
        <is>
          <t>Gasto</t>
        </is>
      </c>
      <c r="G13" s="27">
        <f>IF(E13="",G12,IF(F13="Ingreso",G12+E13,G12-E13))</f>
        <v/>
      </c>
      <c r="H13" s="1" t="n"/>
      <c r="I13" s="11">
        <f>'⚙️ Configuración'!B13</f>
        <v/>
      </c>
      <c r="J13" s="28">
        <f>'⚙️ Configuración'!C13</f>
        <v/>
      </c>
      <c r="K13" s="29">
        <f>SUMIF(D9:D48,I13,E9:E48)</f>
        <v/>
      </c>
      <c r="L13" s="30">
        <f>J13-K13</f>
        <v/>
      </c>
      <c r="M13" s="26">
        <f>IF(L13&gt;=0,"✅ OK","⚠️ Excedido")</f>
        <v/>
      </c>
      <c r="N13" s="1" t="n"/>
      <c r="O13" s="1" t="n"/>
      <c r="P13" s="1" t="n"/>
    </row>
    <row r="14" ht="16" customHeight="1">
      <c r="A14" s="1" t="n"/>
      <c r="B14" s="22" t="inlineStr"/>
      <c r="C14" s="23" t="inlineStr"/>
      <c r="D14" s="24" t="inlineStr"/>
      <c r="E14" s="25" t="inlineStr"/>
      <c r="F14" s="31" t="inlineStr">
        <is>
          <t>Gasto</t>
        </is>
      </c>
      <c r="G14" s="27">
        <f>IF(E14="",G13,IF(F14="Ingreso",G13+E14,G13-E14))</f>
        <v/>
      </c>
      <c r="H14" s="1" t="n"/>
      <c r="I14" s="11">
        <f>'⚙️ Configuración'!B14</f>
        <v/>
      </c>
      <c r="J14" s="28">
        <f>'⚙️ Configuración'!C14</f>
        <v/>
      </c>
      <c r="K14" s="29">
        <f>SUMIF(D9:D48,I14,E9:E48)</f>
        <v/>
      </c>
      <c r="L14" s="30">
        <f>J14-K14</f>
        <v/>
      </c>
      <c r="M14" s="26">
        <f>IF(L14&gt;=0,"✅ OK","⚠️ Excedido")</f>
        <v/>
      </c>
      <c r="N14" s="1" t="n"/>
      <c r="O14" s="1" t="n"/>
      <c r="P14" s="1" t="n"/>
    </row>
    <row r="15" ht="16" customHeight="1">
      <c r="A15" s="1" t="n"/>
      <c r="B15" s="22" t="inlineStr"/>
      <c r="C15" s="23" t="inlineStr"/>
      <c r="D15" s="24" t="inlineStr"/>
      <c r="E15" s="25" t="inlineStr"/>
      <c r="F15" s="31" t="inlineStr">
        <is>
          <t>Gasto</t>
        </is>
      </c>
      <c r="G15" s="27">
        <f>IF(E15="",G14,IF(F15="Ingreso",G14+E15,G14-E15))</f>
        <v/>
      </c>
      <c r="H15" s="1" t="n"/>
      <c r="I15" s="11">
        <f>'⚙️ Configuración'!B15</f>
        <v/>
      </c>
      <c r="J15" s="28">
        <f>'⚙️ Configuración'!C15</f>
        <v/>
      </c>
      <c r="K15" s="29">
        <f>SUMIF(D9:D48,I15,E9:E48)</f>
        <v/>
      </c>
      <c r="L15" s="30">
        <f>J15-K15</f>
        <v/>
      </c>
      <c r="M15" s="26">
        <f>IF(L15&gt;=0,"✅ OK","⚠️ Excedido")</f>
        <v/>
      </c>
      <c r="N15" s="1" t="n"/>
      <c r="O15" s="1" t="n"/>
      <c r="P15" s="1" t="n"/>
    </row>
    <row r="16" ht="16" customHeight="1">
      <c r="A16" s="1" t="n"/>
      <c r="B16" s="22" t="inlineStr"/>
      <c r="C16" s="23" t="inlineStr"/>
      <c r="D16" s="24" t="inlineStr"/>
      <c r="E16" s="25" t="inlineStr"/>
      <c r="F16" s="31" t="inlineStr">
        <is>
          <t>Gasto</t>
        </is>
      </c>
      <c r="G16" s="27">
        <f>IF(E16="",G15,IF(F16="Ingreso",G15+E16,G15-E16))</f>
        <v/>
      </c>
      <c r="H16" s="1" t="n"/>
      <c r="I16" s="11">
        <f>'⚙️ Configuración'!B16</f>
        <v/>
      </c>
      <c r="J16" s="28">
        <f>'⚙️ Configuración'!C16</f>
        <v/>
      </c>
      <c r="K16" s="29">
        <f>SUMIF(D9:D48,I16,E9:E48)</f>
        <v/>
      </c>
      <c r="L16" s="30">
        <f>J16-K16</f>
        <v/>
      </c>
      <c r="M16" s="26">
        <f>IF(L16&gt;=0,"✅ OK","⚠️ Excedido")</f>
        <v/>
      </c>
      <c r="N16" s="1" t="n"/>
      <c r="O16" s="1" t="n"/>
      <c r="P16" s="1" t="n"/>
    </row>
    <row r="17" ht="16" customHeight="1">
      <c r="A17" s="1" t="n"/>
      <c r="B17" s="22" t="inlineStr"/>
      <c r="C17" s="23" t="inlineStr"/>
      <c r="D17" s="24" t="inlineStr"/>
      <c r="E17" s="25" t="inlineStr"/>
      <c r="F17" s="31" t="inlineStr">
        <is>
          <t>Gasto</t>
        </is>
      </c>
      <c r="G17" s="27">
        <f>IF(E17="",G16,IF(F17="Ingreso",G16+E17,G16-E17))</f>
        <v/>
      </c>
      <c r="H17" s="1" t="n"/>
      <c r="I17" s="11">
        <f>'⚙️ Configuración'!B17</f>
        <v/>
      </c>
      <c r="J17" s="28">
        <f>'⚙️ Configuración'!C17</f>
        <v/>
      </c>
      <c r="K17" s="29">
        <f>SUMIF(D9:D48,I17,E9:E48)</f>
        <v/>
      </c>
      <c r="L17" s="30">
        <f>J17-K17</f>
        <v/>
      </c>
      <c r="M17" s="26">
        <f>IF(L17&gt;=0,"✅ OK","⚠️ Excedido")</f>
        <v/>
      </c>
      <c r="N17" s="1" t="n"/>
      <c r="O17" s="1" t="n"/>
      <c r="P17" s="1" t="n"/>
    </row>
    <row r="18" ht="16" customHeight="1">
      <c r="A18" s="1" t="n"/>
      <c r="B18" s="22" t="inlineStr"/>
      <c r="C18" s="23" t="inlineStr"/>
      <c r="D18" s="24" t="inlineStr"/>
      <c r="E18" s="25" t="inlineStr"/>
      <c r="F18" s="31" t="inlineStr">
        <is>
          <t>Gasto</t>
        </is>
      </c>
      <c r="G18" s="27">
        <f>IF(E18="",G17,IF(F18="Ingreso",G17+E18,G17-E18))</f>
        <v/>
      </c>
      <c r="H18" s="1" t="n"/>
      <c r="I18" s="11">
        <f>'⚙️ Configuración'!B18</f>
        <v/>
      </c>
      <c r="J18" s="28">
        <f>'⚙️ Configuración'!C18</f>
        <v/>
      </c>
      <c r="K18" s="29">
        <f>SUMIF(D9:D48,I18,E9:E48)</f>
        <v/>
      </c>
      <c r="L18" s="30">
        <f>J18-K18</f>
        <v/>
      </c>
      <c r="M18" s="26">
        <f>IF(L18&gt;=0,"✅ OK","⚠️ Excedido")</f>
        <v/>
      </c>
      <c r="N18" s="1" t="n"/>
      <c r="O18" s="1" t="n"/>
      <c r="P18" s="1" t="n"/>
    </row>
    <row r="19" ht="16" customHeight="1">
      <c r="A19" s="1" t="n"/>
      <c r="B19" s="22" t="inlineStr"/>
      <c r="C19" s="23" t="inlineStr"/>
      <c r="D19" s="24" t="inlineStr"/>
      <c r="E19" s="25" t="inlineStr"/>
      <c r="F19" s="31" t="inlineStr">
        <is>
          <t>Gasto</t>
        </is>
      </c>
      <c r="G19" s="27">
        <f>IF(E19="",G18,IF(F19="Ingreso",G18+E19,G18-E19))</f>
        <v/>
      </c>
      <c r="H19" s="1" t="n"/>
      <c r="I19" s="11">
        <f>'⚙️ Configuración'!B19</f>
        <v/>
      </c>
      <c r="J19" s="28">
        <f>'⚙️ Configuración'!C19</f>
        <v/>
      </c>
      <c r="K19" s="29">
        <f>SUMIF(D9:D48,I19,E9:E48)</f>
        <v/>
      </c>
      <c r="L19" s="30">
        <f>J19-K19</f>
        <v/>
      </c>
      <c r="M19" s="26">
        <f>IF(L19&gt;=0,"✅ OK","⚠️ Excedido")</f>
        <v/>
      </c>
      <c r="N19" s="1" t="n"/>
      <c r="O19" s="1" t="n"/>
      <c r="P19" s="1" t="n"/>
    </row>
    <row r="20" ht="16" customHeight="1">
      <c r="A20" s="1" t="n"/>
      <c r="B20" s="22" t="inlineStr"/>
      <c r="C20" s="23" t="inlineStr"/>
      <c r="D20" s="24" t="inlineStr"/>
      <c r="E20" s="25" t="inlineStr"/>
      <c r="F20" s="31" t="inlineStr">
        <is>
          <t>Gasto</t>
        </is>
      </c>
      <c r="G20" s="27">
        <f>IF(E20="",G19,IF(F20="Ingreso",G19+E20,G19-E20))</f>
        <v/>
      </c>
      <c r="H20" s="1" t="n"/>
      <c r="I20" s="11">
        <f>'⚙️ Configuración'!B20</f>
        <v/>
      </c>
      <c r="J20" s="28">
        <f>'⚙️ Configuración'!C20</f>
        <v/>
      </c>
      <c r="K20" s="29">
        <f>SUMIF(D9:D48,I20,E9:E48)</f>
        <v/>
      </c>
      <c r="L20" s="30">
        <f>J20-K20</f>
        <v/>
      </c>
      <c r="M20" s="26">
        <f>IF(L20&gt;=0,"✅ OK","⚠️ Excedido")</f>
        <v/>
      </c>
      <c r="N20" s="1" t="n"/>
      <c r="O20" s="1" t="n"/>
      <c r="P20" s="1" t="n"/>
    </row>
    <row r="21" ht="16" customHeight="1">
      <c r="A21" s="1" t="n"/>
      <c r="B21" s="22" t="inlineStr"/>
      <c r="C21" s="23" t="inlineStr"/>
      <c r="D21" s="24" t="inlineStr"/>
      <c r="E21" s="25" t="inlineStr"/>
      <c r="F21" s="31" t="inlineStr">
        <is>
          <t>Gasto</t>
        </is>
      </c>
      <c r="G21" s="27">
        <f>IF(E21="",G20,IF(F21="Ingreso",G20+E21,G20-E21))</f>
        <v/>
      </c>
      <c r="H21" s="1" t="n"/>
      <c r="I21" s="11">
        <f>'⚙️ Configuración'!B21</f>
        <v/>
      </c>
      <c r="J21" s="28">
        <f>'⚙️ Configuración'!C21</f>
        <v/>
      </c>
      <c r="K21" s="29">
        <f>SUMIF(D9:D48,I21,E9:E48)</f>
        <v/>
      </c>
      <c r="L21" s="30">
        <f>J21-K21</f>
        <v/>
      </c>
      <c r="M21" s="26">
        <f>IF(L21&gt;=0,"✅ OK","⚠️ Excedido")</f>
        <v/>
      </c>
      <c r="N21" s="1" t="n"/>
      <c r="O21" s="1" t="n"/>
      <c r="P21" s="1" t="n"/>
    </row>
    <row r="22" ht="16" customHeight="1">
      <c r="A22" s="1" t="n"/>
      <c r="B22" s="22" t="inlineStr"/>
      <c r="C22" s="23" t="inlineStr"/>
      <c r="D22" s="24" t="inlineStr"/>
      <c r="E22" s="25" t="inlineStr"/>
      <c r="F22" s="31" t="inlineStr">
        <is>
          <t>Gasto</t>
        </is>
      </c>
      <c r="G22" s="27">
        <f>IF(E22="",G21,IF(F22="Ingreso",G21+E22,G21-E22))</f>
        <v/>
      </c>
      <c r="H22" s="1" t="n"/>
      <c r="I22" s="11">
        <f>'⚙️ Configuración'!B22</f>
        <v/>
      </c>
      <c r="J22" s="28">
        <f>'⚙️ Configuración'!C22</f>
        <v/>
      </c>
      <c r="K22" s="29">
        <f>SUMIF(D9:D48,I22,E9:E48)</f>
        <v/>
      </c>
      <c r="L22" s="30">
        <f>J22-K22</f>
        <v/>
      </c>
      <c r="M22" s="26">
        <f>IF(L22&gt;=0,"✅ OK","⚠️ Excedido")</f>
        <v/>
      </c>
      <c r="N22" s="1" t="n"/>
      <c r="O22" s="1" t="n"/>
      <c r="P22" s="1" t="n"/>
    </row>
    <row r="23" ht="16" customHeight="1">
      <c r="A23" s="1" t="n"/>
      <c r="B23" s="22" t="inlineStr"/>
      <c r="C23" s="23" t="inlineStr"/>
      <c r="D23" s="24" t="inlineStr"/>
      <c r="E23" s="25" t="inlineStr"/>
      <c r="F23" s="31" t="inlineStr">
        <is>
          <t>Gasto</t>
        </is>
      </c>
      <c r="G23" s="27">
        <f>IF(E23="",G22,IF(F23="Ingreso",G22+E23,G22-E23))</f>
        <v/>
      </c>
      <c r="H23" s="1" t="n"/>
      <c r="I23" s="11">
        <f>'⚙️ Configuración'!B23</f>
        <v/>
      </c>
      <c r="J23" s="28">
        <f>'⚙️ Configuración'!C23</f>
        <v/>
      </c>
      <c r="K23" s="29">
        <f>SUMIF(D9:D48,I23,E9:E48)</f>
        <v/>
      </c>
      <c r="L23" s="30">
        <f>J23-K23</f>
        <v/>
      </c>
      <c r="M23" s="26">
        <f>IF(L23&gt;=0,"✅ OK","⚠️ Excedido")</f>
        <v/>
      </c>
      <c r="N23" s="1" t="n"/>
      <c r="O23" s="1" t="n"/>
      <c r="P23" s="1" t="n"/>
    </row>
    <row r="24" ht="16" customHeight="1">
      <c r="A24" s="1" t="n"/>
      <c r="B24" s="22" t="inlineStr"/>
      <c r="C24" s="23" t="inlineStr"/>
      <c r="D24" s="24" t="inlineStr"/>
      <c r="E24" s="25" t="inlineStr"/>
      <c r="F24" s="31" t="inlineStr">
        <is>
          <t>Gasto</t>
        </is>
      </c>
      <c r="G24" s="27">
        <f>IF(E24="",G23,IF(F24="Ingreso",G23+E24,G23-E24))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6" customHeight="1">
      <c r="A25" s="1" t="n"/>
      <c r="B25" s="22" t="inlineStr"/>
      <c r="C25" s="23" t="inlineStr"/>
      <c r="D25" s="24" t="inlineStr"/>
      <c r="E25" s="25" t="inlineStr"/>
      <c r="F25" s="31" t="inlineStr">
        <is>
          <t>Gasto</t>
        </is>
      </c>
      <c r="G25" s="27">
        <f>IF(E25="",G24,IF(F25="Ingreso",G24+E25,G24-E25))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6" customHeight="1">
      <c r="A26" s="1" t="n"/>
      <c r="B26" s="22" t="inlineStr"/>
      <c r="C26" s="23" t="inlineStr"/>
      <c r="D26" s="24" t="inlineStr"/>
      <c r="E26" s="25" t="inlineStr"/>
      <c r="F26" s="31" t="inlineStr">
        <is>
          <t>Gasto</t>
        </is>
      </c>
      <c r="G26" s="27">
        <f>IF(E26="",G25,IF(F26="Ingreso",G25+E26,G25-E26))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6" customHeight="1">
      <c r="A27" s="1" t="n"/>
      <c r="B27" s="22" t="inlineStr"/>
      <c r="C27" s="23" t="inlineStr"/>
      <c r="D27" s="24" t="inlineStr"/>
      <c r="E27" s="25" t="inlineStr"/>
      <c r="F27" s="31" t="inlineStr">
        <is>
          <t>Gasto</t>
        </is>
      </c>
      <c r="G27" s="27">
        <f>IF(E27="",G26,IF(F27="Ingreso",G26+E27,G26-E27))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6" customHeight="1">
      <c r="A28" s="1" t="n"/>
      <c r="B28" s="22" t="inlineStr"/>
      <c r="C28" s="23" t="inlineStr"/>
      <c r="D28" s="24" t="inlineStr"/>
      <c r="E28" s="25" t="inlineStr"/>
      <c r="F28" s="31" t="inlineStr">
        <is>
          <t>Gasto</t>
        </is>
      </c>
      <c r="G28" s="27">
        <f>IF(E28="",G27,IF(F28="Ingreso",G27+E28,G27-E28))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6" customHeight="1">
      <c r="A29" s="1" t="n"/>
      <c r="B29" s="22" t="inlineStr"/>
      <c r="C29" s="23" t="inlineStr"/>
      <c r="D29" s="24" t="inlineStr"/>
      <c r="E29" s="25" t="inlineStr"/>
      <c r="F29" s="31" t="inlineStr">
        <is>
          <t>Gasto</t>
        </is>
      </c>
      <c r="G29" s="27">
        <f>IF(E29="",G28,IF(F29="Ingreso",G28+E29,G28-E29))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6" customHeight="1">
      <c r="A30" s="1" t="n"/>
      <c r="B30" s="22" t="inlineStr"/>
      <c r="C30" s="23" t="inlineStr"/>
      <c r="D30" s="24" t="inlineStr"/>
      <c r="E30" s="25" t="inlineStr"/>
      <c r="F30" s="31" t="inlineStr">
        <is>
          <t>Gasto</t>
        </is>
      </c>
      <c r="G30" s="27">
        <f>IF(E30="",G29,IF(F30="Ingreso",G29+E30,G29-E30))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6" customHeight="1">
      <c r="A31" s="1" t="n"/>
      <c r="B31" s="22" t="inlineStr"/>
      <c r="C31" s="23" t="inlineStr"/>
      <c r="D31" s="24" t="inlineStr"/>
      <c r="E31" s="25" t="inlineStr"/>
      <c r="F31" s="31" t="inlineStr">
        <is>
          <t>Gasto</t>
        </is>
      </c>
      <c r="G31" s="27">
        <f>IF(E31="",G30,IF(F31="Ingreso",G30+E31,G30-E31))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6" customHeight="1">
      <c r="A32" s="1" t="n"/>
      <c r="B32" s="22" t="inlineStr"/>
      <c r="C32" s="23" t="inlineStr"/>
      <c r="D32" s="24" t="inlineStr"/>
      <c r="E32" s="25" t="inlineStr"/>
      <c r="F32" s="31" t="inlineStr">
        <is>
          <t>Gasto</t>
        </is>
      </c>
      <c r="G32" s="27">
        <f>IF(E32="",G31,IF(F32="Ingreso",G31+E32,G31-E32))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6" customHeight="1">
      <c r="A33" s="1" t="n"/>
      <c r="B33" s="22" t="inlineStr"/>
      <c r="C33" s="23" t="inlineStr"/>
      <c r="D33" s="24" t="inlineStr"/>
      <c r="E33" s="25" t="inlineStr"/>
      <c r="F33" s="31" t="inlineStr">
        <is>
          <t>Gasto</t>
        </is>
      </c>
      <c r="G33" s="27">
        <f>IF(E33="",G32,IF(F33="Ingreso",G32+E33,G32-E33))</f>
        <v/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6" customHeight="1">
      <c r="A34" s="1" t="n"/>
      <c r="B34" s="22" t="inlineStr"/>
      <c r="C34" s="23" t="inlineStr"/>
      <c r="D34" s="24" t="inlineStr"/>
      <c r="E34" s="25" t="inlineStr"/>
      <c r="F34" s="31" t="inlineStr">
        <is>
          <t>Gasto</t>
        </is>
      </c>
      <c r="G34" s="27">
        <f>IF(E34="",G33,IF(F34="Ingreso",G33+E34,G33-E34))</f>
        <v/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6" customHeight="1">
      <c r="A35" s="1" t="n"/>
      <c r="B35" s="22" t="inlineStr"/>
      <c r="C35" s="23" t="inlineStr"/>
      <c r="D35" s="24" t="inlineStr"/>
      <c r="E35" s="25" t="inlineStr"/>
      <c r="F35" s="31" t="inlineStr">
        <is>
          <t>Gasto</t>
        </is>
      </c>
      <c r="G35" s="27">
        <f>IF(E35="",G34,IF(F35="Ingreso",G34+E35,G34-E35))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6" customHeight="1">
      <c r="A36" s="1" t="n"/>
      <c r="B36" s="22" t="inlineStr"/>
      <c r="C36" s="23" t="inlineStr"/>
      <c r="D36" s="24" t="inlineStr"/>
      <c r="E36" s="25" t="inlineStr"/>
      <c r="F36" s="31" t="inlineStr">
        <is>
          <t>Gasto</t>
        </is>
      </c>
      <c r="G36" s="27">
        <f>IF(E36="",G35,IF(F36="Ingreso",G35+E36,G35-E36))</f>
        <v/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6" customHeight="1">
      <c r="A37" s="1" t="n"/>
      <c r="B37" s="22" t="inlineStr"/>
      <c r="C37" s="23" t="inlineStr"/>
      <c r="D37" s="24" t="inlineStr"/>
      <c r="E37" s="25" t="inlineStr"/>
      <c r="F37" s="31" t="inlineStr">
        <is>
          <t>Gasto</t>
        </is>
      </c>
      <c r="G37" s="27">
        <f>IF(E37="",G36,IF(F37="Ingreso",G36+E37,G36-E37))</f>
        <v/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6" customHeight="1">
      <c r="A38" s="1" t="n"/>
      <c r="B38" s="22" t="inlineStr"/>
      <c r="C38" s="23" t="inlineStr"/>
      <c r="D38" s="24" t="inlineStr"/>
      <c r="E38" s="25" t="inlineStr"/>
      <c r="F38" s="31" t="inlineStr">
        <is>
          <t>Gasto</t>
        </is>
      </c>
      <c r="G38" s="27">
        <f>IF(E38="",G37,IF(F38="Ingreso",G37+E38,G37-E38))</f>
        <v/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6" customHeight="1">
      <c r="A39" s="1" t="n"/>
      <c r="B39" s="22" t="inlineStr"/>
      <c r="C39" s="23" t="inlineStr"/>
      <c r="D39" s="24" t="inlineStr"/>
      <c r="E39" s="25" t="inlineStr"/>
      <c r="F39" s="31" t="inlineStr">
        <is>
          <t>Gasto</t>
        </is>
      </c>
      <c r="G39" s="27">
        <f>IF(E39="",G38,IF(F39="Ingreso",G38+E39,G38-E39))</f>
        <v/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6" customHeight="1">
      <c r="A40" s="1" t="n"/>
      <c r="B40" s="22" t="inlineStr"/>
      <c r="C40" s="23" t="inlineStr"/>
      <c r="D40" s="24" t="inlineStr"/>
      <c r="E40" s="25" t="inlineStr"/>
      <c r="F40" s="31" t="inlineStr">
        <is>
          <t>Gasto</t>
        </is>
      </c>
      <c r="G40" s="27">
        <f>IF(E40="",G39,IF(F40="Ingreso",G39+E40,G39-E40))</f>
        <v/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16" customHeight="1">
      <c r="A41" s="1" t="n"/>
      <c r="B41" s="22" t="inlineStr"/>
      <c r="C41" s="23" t="inlineStr"/>
      <c r="D41" s="24" t="inlineStr"/>
      <c r="E41" s="25" t="inlineStr"/>
      <c r="F41" s="31" t="inlineStr">
        <is>
          <t>Gasto</t>
        </is>
      </c>
      <c r="G41" s="27">
        <f>IF(E41="",G40,IF(F41="Ingreso",G40+E41,G40-E41))</f>
        <v/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6" customHeight="1">
      <c r="A42" s="1" t="n"/>
      <c r="B42" s="22" t="inlineStr"/>
      <c r="C42" s="23" t="inlineStr"/>
      <c r="D42" s="24" t="inlineStr"/>
      <c r="E42" s="25" t="inlineStr"/>
      <c r="F42" s="31" t="inlineStr">
        <is>
          <t>Gasto</t>
        </is>
      </c>
      <c r="G42" s="27">
        <f>IF(E42="",G41,IF(F42="Ingreso",G41+E42,G41-E42))</f>
        <v/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16" customHeight="1">
      <c r="A43" s="1" t="n"/>
      <c r="B43" s="22" t="inlineStr"/>
      <c r="C43" s="23" t="inlineStr"/>
      <c r="D43" s="24" t="inlineStr"/>
      <c r="E43" s="25" t="inlineStr"/>
      <c r="F43" s="31" t="inlineStr">
        <is>
          <t>Gasto</t>
        </is>
      </c>
      <c r="G43" s="27">
        <f>IF(E43="",G42,IF(F43="Ingreso",G42+E43,G42-E43))</f>
        <v/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6" customHeight="1">
      <c r="A44" s="1" t="n"/>
      <c r="B44" s="22" t="inlineStr"/>
      <c r="C44" s="23" t="inlineStr"/>
      <c r="D44" s="24" t="inlineStr"/>
      <c r="E44" s="25" t="inlineStr"/>
      <c r="F44" s="31" t="inlineStr">
        <is>
          <t>Gasto</t>
        </is>
      </c>
      <c r="G44" s="27">
        <f>IF(E44="",G43,IF(F44="Ingreso",G43+E44,G43-E44))</f>
        <v/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6" customHeight="1">
      <c r="A45" s="1" t="n"/>
      <c r="B45" s="22" t="inlineStr"/>
      <c r="C45" s="23" t="inlineStr"/>
      <c r="D45" s="24" t="inlineStr"/>
      <c r="E45" s="25" t="inlineStr"/>
      <c r="F45" s="31" t="inlineStr">
        <is>
          <t>Gasto</t>
        </is>
      </c>
      <c r="G45" s="27">
        <f>IF(E45="",G44,IF(F45="Ingreso",G44+E45,G44-E45))</f>
        <v/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6" customHeight="1">
      <c r="A46" s="1" t="n"/>
      <c r="B46" s="22" t="inlineStr"/>
      <c r="C46" s="23" t="inlineStr"/>
      <c r="D46" s="24" t="inlineStr"/>
      <c r="E46" s="25" t="inlineStr"/>
      <c r="F46" s="31" t="inlineStr">
        <is>
          <t>Gasto</t>
        </is>
      </c>
      <c r="G46" s="27">
        <f>IF(E46="",G45,IF(F46="Ingreso",G45+E46,G45-E46))</f>
        <v/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6" customHeight="1">
      <c r="A47" s="1" t="n"/>
      <c r="B47" s="22" t="inlineStr"/>
      <c r="C47" s="23" t="inlineStr"/>
      <c r="D47" s="24" t="inlineStr"/>
      <c r="E47" s="25" t="inlineStr"/>
      <c r="F47" s="31" t="inlineStr">
        <is>
          <t>Gasto</t>
        </is>
      </c>
      <c r="G47" s="27">
        <f>IF(E47="",G46,IF(F47="Ingreso",G46+E47,G46-E47))</f>
        <v/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6" customHeight="1">
      <c r="A48" s="1" t="n"/>
      <c r="B48" s="22" t="inlineStr"/>
      <c r="C48" s="23" t="inlineStr"/>
      <c r="D48" s="24" t="inlineStr"/>
      <c r="E48" s="25" t="inlineStr"/>
      <c r="F48" s="31" t="inlineStr">
        <is>
          <t>Gasto</t>
        </is>
      </c>
      <c r="G48" s="27">
        <f>IF(E48="",G47,IF(F48="Ingreso",G47+E48,G47-E48))</f>
        <v/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 ht="16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 ht="1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 ht="16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 ht="16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 ht="16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 ht="1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 ht="1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 ht="1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 ht="1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 ht="1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 ht="1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 ht="1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 ht="1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 ht="1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 ht="1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 ht="1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 ht="1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</sheetData>
  <mergeCells count="3">
    <mergeCell ref="I7:M7"/>
    <mergeCell ref="B2:G2"/>
    <mergeCell ref="B7:G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18" customWidth="1" min="4" max="4"/>
    <col width="14" customWidth="1" min="5" max="5"/>
    <col width="12" customWidth="1" min="6" max="6"/>
    <col width="14" customWidth="1" min="7" max="7"/>
    <col width="2" customWidth="1" min="8" max="8"/>
    <col width="26" customWidth="1" min="9" max="9"/>
    <col width="14" customWidth="1" min="10" max="10"/>
    <col width="14" customWidth="1" min="11" max="11"/>
    <col width="14" customWidth="1" min="12" max="12"/>
    <col width="11" customWidth="1" min="13" max="13"/>
  </cols>
  <sheetData>
    <row r="1" ht="1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40" t="inlineStr">
        <is>
          <t>DICIEMBRE  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6" customHeight="1">
      <c r="A4" s="1" t="n"/>
      <c r="B4" s="15" t="inlineStr">
        <is>
          <t>💰 INGRESOS</t>
        </is>
      </c>
      <c r="C4" s="15" t="inlineStr">
        <is>
          <t>💸 GASTOS</t>
        </is>
      </c>
      <c r="D4" s="15" t="inlineStr">
        <is>
          <t>💾 AHORRO</t>
        </is>
      </c>
      <c r="E4" s="15" t="inlineStr">
        <is>
          <t>% AHORRO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24" customHeight="1">
      <c r="A5" s="1" t="n"/>
      <c r="B5" s="16">
        <f>SUMIF(F8:F200,"Ingreso",E8:E200)</f>
        <v/>
      </c>
      <c r="C5" s="17">
        <f>SUMIF(F8:F200,"Gasto",E8:E200)</f>
        <v/>
      </c>
      <c r="D5" s="18">
        <f>SUMIF(F8:F200,"Ingreso",E8:E200)-SUMIF(F8:F200,"Gasto",E8:E200)</f>
        <v/>
      </c>
      <c r="E5" s="19">
        <f>IFERROR((SUMIF(F8:F200,"Ingreso",E8:E200)-SUMIF(F8:F200,"Gasto",E8:E200))/SUMIF(F8:F200,"Ingreso",E8:E200),0)</f>
        <v/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6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6" customHeight="1">
      <c r="A7" s="1" t="n"/>
      <c r="B7" s="41" t="inlineStr">
        <is>
          <t>📝  REGISTRO DE TRANSACCIONES</t>
        </is>
      </c>
      <c r="H7" s="1" t="n"/>
      <c r="I7" s="41" t="inlineStr">
        <is>
          <t>📊  PRESUPUESTO vs REAL</t>
        </is>
      </c>
      <c r="N7" s="1" t="n"/>
      <c r="O7" s="1" t="n"/>
      <c r="P7" s="1" t="n"/>
    </row>
    <row r="8" ht="16" customHeight="1">
      <c r="A8" s="1" t="n"/>
      <c r="B8" s="21" t="inlineStr">
        <is>
          <t>FECHA</t>
        </is>
      </c>
      <c r="C8" s="21" t="inlineStr">
        <is>
          <t>DESCRIPCIÓN</t>
        </is>
      </c>
      <c r="D8" s="21" t="inlineStr">
        <is>
          <t>CATEGORÍA</t>
        </is>
      </c>
      <c r="E8" s="21" t="inlineStr">
        <is>
          <t>MONTO</t>
        </is>
      </c>
      <c r="F8" s="21" t="inlineStr">
        <is>
          <t>TIPO</t>
        </is>
      </c>
      <c r="G8" s="21" t="inlineStr">
        <is>
          <t>ACUMULADO</t>
        </is>
      </c>
      <c r="H8" s="1" t="n"/>
      <c r="I8" s="21" t="inlineStr">
        <is>
          <t>CATEGORÍA</t>
        </is>
      </c>
      <c r="J8" s="21" t="inlineStr">
        <is>
          <t>PRESUPUESTO</t>
        </is>
      </c>
      <c r="K8" s="21" t="inlineStr">
        <is>
          <t>REAL</t>
        </is>
      </c>
      <c r="L8" s="21" t="inlineStr">
        <is>
          <t>DIFERENCIA</t>
        </is>
      </c>
      <c r="M8" s="21" t="inlineStr">
        <is>
          <t>ESTADO</t>
        </is>
      </c>
      <c r="N8" s="1" t="n"/>
      <c r="O8" s="1" t="n"/>
      <c r="P8" s="1" t="n"/>
    </row>
    <row r="9" ht="16" customHeight="1">
      <c r="A9" s="1" t="n"/>
      <c r="B9" s="22" t="inlineStr"/>
      <c r="C9" s="23" t="inlineStr"/>
      <c r="D9" s="24" t="inlineStr"/>
      <c r="E9" s="25" t="inlineStr"/>
      <c r="F9" s="26" t="inlineStr">
        <is>
          <t>Ingreso</t>
        </is>
      </c>
      <c r="G9" s="27">
        <f>IF(F9="Ingreso",E9,-E9)</f>
        <v/>
      </c>
      <c r="H9" s="1" t="n"/>
      <c r="I9" s="11">
        <f>'⚙️ Configuración'!B9</f>
        <v/>
      </c>
      <c r="J9" s="28">
        <f>'⚙️ Configuración'!C9</f>
        <v/>
      </c>
      <c r="K9" s="29">
        <f>SUMIF(D9:D48,I9,E9:E48)</f>
        <v/>
      </c>
      <c r="L9" s="30">
        <f>J9-K9</f>
        <v/>
      </c>
      <c r="M9" s="26">
        <f>IF(L9&gt;=0,"✅ OK","⚠️ Excedido")</f>
        <v/>
      </c>
      <c r="N9" s="1" t="n"/>
      <c r="O9" s="1" t="n"/>
      <c r="P9" s="1" t="n"/>
    </row>
    <row r="10" ht="16" customHeight="1">
      <c r="A10" s="1" t="n"/>
      <c r="B10" s="22" t="inlineStr"/>
      <c r="C10" s="23" t="inlineStr"/>
      <c r="D10" s="24" t="inlineStr"/>
      <c r="E10" s="25" t="inlineStr"/>
      <c r="F10" s="31" t="inlineStr">
        <is>
          <t>Gasto</t>
        </is>
      </c>
      <c r="G10" s="27">
        <f>IF(E10="",G9,IF(F10="Ingreso",G9+E10,G9-E10))</f>
        <v/>
      </c>
      <c r="H10" s="1" t="n"/>
      <c r="I10" s="11">
        <f>'⚙️ Configuración'!B10</f>
        <v/>
      </c>
      <c r="J10" s="28">
        <f>'⚙️ Configuración'!C10</f>
        <v/>
      </c>
      <c r="K10" s="29">
        <f>SUMIF(D9:D48,I10,E9:E48)</f>
        <v/>
      </c>
      <c r="L10" s="30">
        <f>J10-K10</f>
        <v/>
      </c>
      <c r="M10" s="26">
        <f>IF(L10&gt;=0,"✅ OK","⚠️ Excedido")</f>
        <v/>
      </c>
      <c r="N10" s="1" t="n"/>
      <c r="O10" s="1" t="n"/>
      <c r="P10" s="1" t="n"/>
    </row>
    <row r="11" ht="16" customHeight="1">
      <c r="A11" s="1" t="n"/>
      <c r="B11" s="22" t="inlineStr"/>
      <c r="C11" s="23" t="inlineStr"/>
      <c r="D11" s="24" t="inlineStr"/>
      <c r="E11" s="25" t="inlineStr"/>
      <c r="F11" s="31" t="inlineStr">
        <is>
          <t>Gasto</t>
        </is>
      </c>
      <c r="G11" s="27">
        <f>IF(E11="",G10,IF(F11="Ingreso",G10+E11,G10-E11))</f>
        <v/>
      </c>
      <c r="H11" s="1" t="n"/>
      <c r="I11" s="11">
        <f>'⚙️ Configuración'!B11</f>
        <v/>
      </c>
      <c r="J11" s="28">
        <f>'⚙️ Configuración'!C11</f>
        <v/>
      </c>
      <c r="K11" s="29">
        <f>SUMIF(D9:D48,I11,E9:E48)</f>
        <v/>
      </c>
      <c r="L11" s="30">
        <f>J11-K11</f>
        <v/>
      </c>
      <c r="M11" s="26">
        <f>IF(L11&gt;=0,"✅ OK","⚠️ Excedido")</f>
        <v/>
      </c>
      <c r="N11" s="1" t="n"/>
      <c r="O11" s="1" t="n"/>
      <c r="P11" s="1" t="n"/>
    </row>
    <row r="12" ht="16" customHeight="1">
      <c r="A12" s="1" t="n"/>
      <c r="B12" s="22" t="inlineStr"/>
      <c r="C12" s="23" t="inlineStr"/>
      <c r="D12" s="24" t="inlineStr"/>
      <c r="E12" s="25" t="inlineStr"/>
      <c r="F12" s="31" t="inlineStr">
        <is>
          <t>Gasto</t>
        </is>
      </c>
      <c r="G12" s="27">
        <f>IF(E12="",G11,IF(F12="Ingreso",G11+E12,G11-E12))</f>
        <v/>
      </c>
      <c r="H12" s="1" t="n"/>
      <c r="I12" s="11">
        <f>'⚙️ Configuración'!B12</f>
        <v/>
      </c>
      <c r="J12" s="28">
        <f>'⚙️ Configuración'!C12</f>
        <v/>
      </c>
      <c r="K12" s="29">
        <f>SUMIF(D9:D48,I12,E9:E48)</f>
        <v/>
      </c>
      <c r="L12" s="30">
        <f>J12-K12</f>
        <v/>
      </c>
      <c r="M12" s="26">
        <f>IF(L12&gt;=0,"✅ OK","⚠️ Excedido")</f>
        <v/>
      </c>
      <c r="N12" s="1" t="n"/>
      <c r="O12" s="1" t="n"/>
      <c r="P12" s="1" t="n"/>
    </row>
    <row r="13" ht="16" customHeight="1">
      <c r="A13" s="1" t="n"/>
      <c r="B13" s="22" t="inlineStr"/>
      <c r="C13" s="23" t="inlineStr"/>
      <c r="D13" s="24" t="inlineStr"/>
      <c r="E13" s="25" t="inlineStr"/>
      <c r="F13" s="31" t="inlineStr">
        <is>
          <t>Gasto</t>
        </is>
      </c>
      <c r="G13" s="27">
        <f>IF(E13="",G12,IF(F13="Ingreso",G12+E13,G12-E13))</f>
        <v/>
      </c>
      <c r="H13" s="1" t="n"/>
      <c r="I13" s="11">
        <f>'⚙️ Configuración'!B13</f>
        <v/>
      </c>
      <c r="J13" s="28">
        <f>'⚙️ Configuración'!C13</f>
        <v/>
      </c>
      <c r="K13" s="29">
        <f>SUMIF(D9:D48,I13,E9:E48)</f>
        <v/>
      </c>
      <c r="L13" s="30">
        <f>J13-K13</f>
        <v/>
      </c>
      <c r="M13" s="26">
        <f>IF(L13&gt;=0,"✅ OK","⚠️ Excedido")</f>
        <v/>
      </c>
      <c r="N13" s="1" t="n"/>
      <c r="O13" s="1" t="n"/>
      <c r="P13" s="1" t="n"/>
    </row>
    <row r="14" ht="16" customHeight="1">
      <c r="A14" s="1" t="n"/>
      <c r="B14" s="22" t="inlineStr"/>
      <c r="C14" s="23" t="inlineStr"/>
      <c r="D14" s="24" t="inlineStr"/>
      <c r="E14" s="25" t="inlineStr"/>
      <c r="F14" s="31" t="inlineStr">
        <is>
          <t>Gasto</t>
        </is>
      </c>
      <c r="G14" s="27">
        <f>IF(E14="",G13,IF(F14="Ingreso",G13+E14,G13-E14))</f>
        <v/>
      </c>
      <c r="H14" s="1" t="n"/>
      <c r="I14" s="11">
        <f>'⚙️ Configuración'!B14</f>
        <v/>
      </c>
      <c r="J14" s="28">
        <f>'⚙️ Configuración'!C14</f>
        <v/>
      </c>
      <c r="K14" s="29">
        <f>SUMIF(D9:D48,I14,E9:E48)</f>
        <v/>
      </c>
      <c r="L14" s="30">
        <f>J14-K14</f>
        <v/>
      </c>
      <c r="M14" s="26">
        <f>IF(L14&gt;=0,"✅ OK","⚠️ Excedido")</f>
        <v/>
      </c>
      <c r="N14" s="1" t="n"/>
      <c r="O14" s="1" t="n"/>
      <c r="P14" s="1" t="n"/>
    </row>
    <row r="15" ht="16" customHeight="1">
      <c r="A15" s="1" t="n"/>
      <c r="B15" s="22" t="inlineStr"/>
      <c r="C15" s="23" t="inlineStr"/>
      <c r="D15" s="24" t="inlineStr"/>
      <c r="E15" s="25" t="inlineStr"/>
      <c r="F15" s="31" t="inlineStr">
        <is>
          <t>Gasto</t>
        </is>
      </c>
      <c r="G15" s="27">
        <f>IF(E15="",G14,IF(F15="Ingreso",G14+E15,G14-E15))</f>
        <v/>
      </c>
      <c r="H15" s="1" t="n"/>
      <c r="I15" s="11">
        <f>'⚙️ Configuración'!B15</f>
        <v/>
      </c>
      <c r="J15" s="28">
        <f>'⚙️ Configuración'!C15</f>
        <v/>
      </c>
      <c r="K15" s="29">
        <f>SUMIF(D9:D48,I15,E9:E48)</f>
        <v/>
      </c>
      <c r="L15" s="30">
        <f>J15-K15</f>
        <v/>
      </c>
      <c r="M15" s="26">
        <f>IF(L15&gt;=0,"✅ OK","⚠️ Excedido")</f>
        <v/>
      </c>
      <c r="N15" s="1" t="n"/>
      <c r="O15" s="1" t="n"/>
      <c r="P15" s="1" t="n"/>
    </row>
    <row r="16" ht="16" customHeight="1">
      <c r="A16" s="1" t="n"/>
      <c r="B16" s="22" t="inlineStr"/>
      <c r="C16" s="23" t="inlineStr"/>
      <c r="D16" s="24" t="inlineStr"/>
      <c r="E16" s="25" t="inlineStr"/>
      <c r="F16" s="31" t="inlineStr">
        <is>
          <t>Gasto</t>
        </is>
      </c>
      <c r="G16" s="27">
        <f>IF(E16="",G15,IF(F16="Ingreso",G15+E16,G15-E16))</f>
        <v/>
      </c>
      <c r="H16" s="1" t="n"/>
      <c r="I16" s="11">
        <f>'⚙️ Configuración'!B16</f>
        <v/>
      </c>
      <c r="J16" s="28">
        <f>'⚙️ Configuración'!C16</f>
        <v/>
      </c>
      <c r="K16" s="29">
        <f>SUMIF(D9:D48,I16,E9:E48)</f>
        <v/>
      </c>
      <c r="L16" s="30">
        <f>J16-K16</f>
        <v/>
      </c>
      <c r="M16" s="26">
        <f>IF(L16&gt;=0,"✅ OK","⚠️ Excedido")</f>
        <v/>
      </c>
      <c r="N16" s="1" t="n"/>
      <c r="O16" s="1" t="n"/>
      <c r="P16" s="1" t="n"/>
    </row>
    <row r="17" ht="16" customHeight="1">
      <c r="A17" s="1" t="n"/>
      <c r="B17" s="22" t="inlineStr"/>
      <c r="C17" s="23" t="inlineStr"/>
      <c r="D17" s="24" t="inlineStr"/>
      <c r="E17" s="25" t="inlineStr"/>
      <c r="F17" s="31" t="inlineStr">
        <is>
          <t>Gasto</t>
        </is>
      </c>
      <c r="G17" s="27">
        <f>IF(E17="",G16,IF(F17="Ingreso",G16+E17,G16-E17))</f>
        <v/>
      </c>
      <c r="H17" s="1" t="n"/>
      <c r="I17" s="11">
        <f>'⚙️ Configuración'!B17</f>
        <v/>
      </c>
      <c r="J17" s="28">
        <f>'⚙️ Configuración'!C17</f>
        <v/>
      </c>
      <c r="K17" s="29">
        <f>SUMIF(D9:D48,I17,E9:E48)</f>
        <v/>
      </c>
      <c r="L17" s="30">
        <f>J17-K17</f>
        <v/>
      </c>
      <c r="M17" s="26">
        <f>IF(L17&gt;=0,"✅ OK","⚠️ Excedido")</f>
        <v/>
      </c>
      <c r="N17" s="1" t="n"/>
      <c r="O17" s="1" t="n"/>
      <c r="P17" s="1" t="n"/>
    </row>
    <row r="18" ht="16" customHeight="1">
      <c r="A18" s="1" t="n"/>
      <c r="B18" s="22" t="inlineStr"/>
      <c r="C18" s="23" t="inlineStr"/>
      <c r="D18" s="24" t="inlineStr"/>
      <c r="E18" s="25" t="inlineStr"/>
      <c r="F18" s="31" t="inlineStr">
        <is>
          <t>Gasto</t>
        </is>
      </c>
      <c r="G18" s="27">
        <f>IF(E18="",G17,IF(F18="Ingreso",G17+E18,G17-E18))</f>
        <v/>
      </c>
      <c r="H18" s="1" t="n"/>
      <c r="I18" s="11">
        <f>'⚙️ Configuración'!B18</f>
        <v/>
      </c>
      <c r="J18" s="28">
        <f>'⚙️ Configuración'!C18</f>
        <v/>
      </c>
      <c r="K18" s="29">
        <f>SUMIF(D9:D48,I18,E9:E48)</f>
        <v/>
      </c>
      <c r="L18" s="30">
        <f>J18-K18</f>
        <v/>
      </c>
      <c r="M18" s="26">
        <f>IF(L18&gt;=0,"✅ OK","⚠️ Excedido")</f>
        <v/>
      </c>
      <c r="N18" s="1" t="n"/>
      <c r="O18" s="1" t="n"/>
      <c r="P18" s="1" t="n"/>
    </row>
    <row r="19" ht="16" customHeight="1">
      <c r="A19" s="1" t="n"/>
      <c r="B19" s="22" t="inlineStr"/>
      <c r="C19" s="23" t="inlineStr"/>
      <c r="D19" s="24" t="inlineStr"/>
      <c r="E19" s="25" t="inlineStr"/>
      <c r="F19" s="31" t="inlineStr">
        <is>
          <t>Gasto</t>
        </is>
      </c>
      <c r="G19" s="27">
        <f>IF(E19="",G18,IF(F19="Ingreso",G18+E19,G18-E19))</f>
        <v/>
      </c>
      <c r="H19" s="1" t="n"/>
      <c r="I19" s="11">
        <f>'⚙️ Configuración'!B19</f>
        <v/>
      </c>
      <c r="J19" s="28">
        <f>'⚙️ Configuración'!C19</f>
        <v/>
      </c>
      <c r="K19" s="29">
        <f>SUMIF(D9:D48,I19,E9:E48)</f>
        <v/>
      </c>
      <c r="L19" s="30">
        <f>J19-K19</f>
        <v/>
      </c>
      <c r="M19" s="26">
        <f>IF(L19&gt;=0,"✅ OK","⚠️ Excedido")</f>
        <v/>
      </c>
      <c r="N19" s="1" t="n"/>
      <c r="O19" s="1" t="n"/>
      <c r="P19" s="1" t="n"/>
    </row>
    <row r="20" ht="16" customHeight="1">
      <c r="A20" s="1" t="n"/>
      <c r="B20" s="22" t="inlineStr"/>
      <c r="C20" s="23" t="inlineStr"/>
      <c r="D20" s="24" t="inlineStr"/>
      <c r="E20" s="25" t="inlineStr"/>
      <c r="F20" s="31" t="inlineStr">
        <is>
          <t>Gasto</t>
        </is>
      </c>
      <c r="G20" s="27">
        <f>IF(E20="",G19,IF(F20="Ingreso",G19+E20,G19-E20))</f>
        <v/>
      </c>
      <c r="H20" s="1" t="n"/>
      <c r="I20" s="11">
        <f>'⚙️ Configuración'!B20</f>
        <v/>
      </c>
      <c r="J20" s="28">
        <f>'⚙️ Configuración'!C20</f>
        <v/>
      </c>
      <c r="K20" s="29">
        <f>SUMIF(D9:D48,I20,E9:E48)</f>
        <v/>
      </c>
      <c r="L20" s="30">
        <f>J20-K20</f>
        <v/>
      </c>
      <c r="M20" s="26">
        <f>IF(L20&gt;=0,"✅ OK","⚠️ Excedido")</f>
        <v/>
      </c>
      <c r="N20" s="1" t="n"/>
      <c r="O20" s="1" t="n"/>
      <c r="P20" s="1" t="n"/>
    </row>
    <row r="21" ht="16" customHeight="1">
      <c r="A21" s="1" t="n"/>
      <c r="B21" s="22" t="inlineStr"/>
      <c r="C21" s="23" t="inlineStr"/>
      <c r="D21" s="24" t="inlineStr"/>
      <c r="E21" s="25" t="inlineStr"/>
      <c r="F21" s="31" t="inlineStr">
        <is>
          <t>Gasto</t>
        </is>
      </c>
      <c r="G21" s="27">
        <f>IF(E21="",G20,IF(F21="Ingreso",G20+E21,G20-E21))</f>
        <v/>
      </c>
      <c r="H21" s="1" t="n"/>
      <c r="I21" s="11">
        <f>'⚙️ Configuración'!B21</f>
        <v/>
      </c>
      <c r="J21" s="28">
        <f>'⚙️ Configuración'!C21</f>
        <v/>
      </c>
      <c r="K21" s="29">
        <f>SUMIF(D9:D48,I21,E9:E48)</f>
        <v/>
      </c>
      <c r="L21" s="30">
        <f>J21-K21</f>
        <v/>
      </c>
      <c r="M21" s="26">
        <f>IF(L21&gt;=0,"✅ OK","⚠️ Excedido")</f>
        <v/>
      </c>
      <c r="N21" s="1" t="n"/>
      <c r="O21" s="1" t="n"/>
      <c r="P21" s="1" t="n"/>
    </row>
    <row r="22" ht="16" customHeight="1">
      <c r="A22" s="1" t="n"/>
      <c r="B22" s="22" t="inlineStr"/>
      <c r="C22" s="23" t="inlineStr"/>
      <c r="D22" s="24" t="inlineStr"/>
      <c r="E22" s="25" t="inlineStr"/>
      <c r="F22" s="31" t="inlineStr">
        <is>
          <t>Gasto</t>
        </is>
      </c>
      <c r="G22" s="27">
        <f>IF(E22="",G21,IF(F22="Ingreso",G21+E22,G21-E22))</f>
        <v/>
      </c>
      <c r="H22" s="1" t="n"/>
      <c r="I22" s="11">
        <f>'⚙️ Configuración'!B22</f>
        <v/>
      </c>
      <c r="J22" s="28">
        <f>'⚙️ Configuración'!C22</f>
        <v/>
      </c>
      <c r="K22" s="29">
        <f>SUMIF(D9:D48,I22,E9:E48)</f>
        <v/>
      </c>
      <c r="L22" s="30">
        <f>J22-K22</f>
        <v/>
      </c>
      <c r="M22" s="26">
        <f>IF(L22&gt;=0,"✅ OK","⚠️ Excedido")</f>
        <v/>
      </c>
      <c r="N22" s="1" t="n"/>
      <c r="O22" s="1" t="n"/>
      <c r="P22" s="1" t="n"/>
    </row>
    <row r="23" ht="16" customHeight="1">
      <c r="A23" s="1" t="n"/>
      <c r="B23" s="22" t="inlineStr"/>
      <c r="C23" s="23" t="inlineStr"/>
      <c r="D23" s="24" t="inlineStr"/>
      <c r="E23" s="25" t="inlineStr"/>
      <c r="F23" s="31" t="inlineStr">
        <is>
          <t>Gasto</t>
        </is>
      </c>
      <c r="G23" s="27">
        <f>IF(E23="",G22,IF(F23="Ingreso",G22+E23,G22-E23))</f>
        <v/>
      </c>
      <c r="H23" s="1" t="n"/>
      <c r="I23" s="11">
        <f>'⚙️ Configuración'!B23</f>
        <v/>
      </c>
      <c r="J23" s="28">
        <f>'⚙️ Configuración'!C23</f>
        <v/>
      </c>
      <c r="K23" s="29">
        <f>SUMIF(D9:D48,I23,E9:E48)</f>
        <v/>
      </c>
      <c r="L23" s="30">
        <f>J23-K23</f>
        <v/>
      </c>
      <c r="M23" s="26">
        <f>IF(L23&gt;=0,"✅ OK","⚠️ Excedido")</f>
        <v/>
      </c>
      <c r="N23" s="1" t="n"/>
      <c r="O23" s="1" t="n"/>
      <c r="P23" s="1" t="n"/>
    </row>
    <row r="24" ht="16" customHeight="1">
      <c r="A24" s="1" t="n"/>
      <c r="B24" s="22" t="inlineStr"/>
      <c r="C24" s="23" t="inlineStr"/>
      <c r="D24" s="24" t="inlineStr"/>
      <c r="E24" s="25" t="inlineStr"/>
      <c r="F24" s="31" t="inlineStr">
        <is>
          <t>Gasto</t>
        </is>
      </c>
      <c r="G24" s="27">
        <f>IF(E24="",G23,IF(F24="Ingreso",G23+E24,G23-E24))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6" customHeight="1">
      <c r="A25" s="1" t="n"/>
      <c r="B25" s="22" t="inlineStr"/>
      <c r="C25" s="23" t="inlineStr"/>
      <c r="D25" s="24" t="inlineStr"/>
      <c r="E25" s="25" t="inlineStr"/>
      <c r="F25" s="31" t="inlineStr">
        <is>
          <t>Gasto</t>
        </is>
      </c>
      <c r="G25" s="27">
        <f>IF(E25="",G24,IF(F25="Ingreso",G24+E25,G24-E25))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6" customHeight="1">
      <c r="A26" s="1" t="n"/>
      <c r="B26" s="22" t="inlineStr"/>
      <c r="C26" s="23" t="inlineStr"/>
      <c r="D26" s="24" t="inlineStr"/>
      <c r="E26" s="25" t="inlineStr"/>
      <c r="F26" s="31" t="inlineStr">
        <is>
          <t>Gasto</t>
        </is>
      </c>
      <c r="G26" s="27">
        <f>IF(E26="",G25,IF(F26="Ingreso",G25+E26,G25-E26))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6" customHeight="1">
      <c r="A27" s="1" t="n"/>
      <c r="B27" s="22" t="inlineStr"/>
      <c r="C27" s="23" t="inlineStr"/>
      <c r="D27" s="24" t="inlineStr"/>
      <c r="E27" s="25" t="inlineStr"/>
      <c r="F27" s="31" t="inlineStr">
        <is>
          <t>Gasto</t>
        </is>
      </c>
      <c r="G27" s="27">
        <f>IF(E27="",G26,IF(F27="Ingreso",G26+E27,G26-E27))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6" customHeight="1">
      <c r="A28" s="1" t="n"/>
      <c r="B28" s="22" t="inlineStr"/>
      <c r="C28" s="23" t="inlineStr"/>
      <c r="D28" s="24" t="inlineStr"/>
      <c r="E28" s="25" t="inlineStr"/>
      <c r="F28" s="31" t="inlineStr">
        <is>
          <t>Gasto</t>
        </is>
      </c>
      <c r="G28" s="27">
        <f>IF(E28="",G27,IF(F28="Ingreso",G27+E28,G27-E28))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6" customHeight="1">
      <c r="A29" s="1" t="n"/>
      <c r="B29" s="22" t="inlineStr"/>
      <c r="C29" s="23" t="inlineStr"/>
      <c r="D29" s="24" t="inlineStr"/>
      <c r="E29" s="25" t="inlineStr"/>
      <c r="F29" s="31" t="inlineStr">
        <is>
          <t>Gasto</t>
        </is>
      </c>
      <c r="G29" s="27">
        <f>IF(E29="",G28,IF(F29="Ingreso",G28+E29,G28-E29))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6" customHeight="1">
      <c r="A30" s="1" t="n"/>
      <c r="B30" s="22" t="inlineStr"/>
      <c r="C30" s="23" t="inlineStr"/>
      <c r="D30" s="24" t="inlineStr"/>
      <c r="E30" s="25" t="inlineStr"/>
      <c r="F30" s="31" t="inlineStr">
        <is>
          <t>Gasto</t>
        </is>
      </c>
      <c r="G30" s="27">
        <f>IF(E30="",G29,IF(F30="Ingreso",G29+E30,G29-E30))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6" customHeight="1">
      <c r="A31" s="1" t="n"/>
      <c r="B31" s="22" t="inlineStr"/>
      <c r="C31" s="23" t="inlineStr"/>
      <c r="D31" s="24" t="inlineStr"/>
      <c r="E31" s="25" t="inlineStr"/>
      <c r="F31" s="31" t="inlineStr">
        <is>
          <t>Gasto</t>
        </is>
      </c>
      <c r="G31" s="27">
        <f>IF(E31="",G30,IF(F31="Ingreso",G30+E31,G30-E31))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6" customHeight="1">
      <c r="A32" s="1" t="n"/>
      <c r="B32" s="22" t="inlineStr"/>
      <c r="C32" s="23" t="inlineStr"/>
      <c r="D32" s="24" t="inlineStr"/>
      <c r="E32" s="25" t="inlineStr"/>
      <c r="F32" s="31" t="inlineStr">
        <is>
          <t>Gasto</t>
        </is>
      </c>
      <c r="G32" s="27">
        <f>IF(E32="",G31,IF(F32="Ingreso",G31+E32,G31-E32))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6" customHeight="1">
      <c r="A33" s="1" t="n"/>
      <c r="B33" s="22" t="inlineStr"/>
      <c r="C33" s="23" t="inlineStr"/>
      <c r="D33" s="24" t="inlineStr"/>
      <c r="E33" s="25" t="inlineStr"/>
      <c r="F33" s="31" t="inlineStr">
        <is>
          <t>Gasto</t>
        </is>
      </c>
      <c r="G33" s="27">
        <f>IF(E33="",G32,IF(F33="Ingreso",G32+E33,G32-E33))</f>
        <v/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6" customHeight="1">
      <c r="A34" s="1" t="n"/>
      <c r="B34" s="22" t="inlineStr"/>
      <c r="C34" s="23" t="inlineStr"/>
      <c r="D34" s="24" t="inlineStr"/>
      <c r="E34" s="25" t="inlineStr"/>
      <c r="F34" s="31" t="inlineStr">
        <is>
          <t>Gasto</t>
        </is>
      </c>
      <c r="G34" s="27">
        <f>IF(E34="",G33,IF(F34="Ingreso",G33+E34,G33-E34))</f>
        <v/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6" customHeight="1">
      <c r="A35" s="1" t="n"/>
      <c r="B35" s="22" t="inlineStr"/>
      <c r="C35" s="23" t="inlineStr"/>
      <c r="D35" s="24" t="inlineStr"/>
      <c r="E35" s="25" t="inlineStr"/>
      <c r="F35" s="31" t="inlineStr">
        <is>
          <t>Gasto</t>
        </is>
      </c>
      <c r="G35" s="27">
        <f>IF(E35="",G34,IF(F35="Ingreso",G34+E35,G34-E35))</f>
        <v/>
      </c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6" customHeight="1">
      <c r="A36" s="1" t="n"/>
      <c r="B36" s="22" t="inlineStr"/>
      <c r="C36" s="23" t="inlineStr"/>
      <c r="D36" s="24" t="inlineStr"/>
      <c r="E36" s="25" t="inlineStr"/>
      <c r="F36" s="31" t="inlineStr">
        <is>
          <t>Gasto</t>
        </is>
      </c>
      <c r="G36" s="27">
        <f>IF(E36="",G35,IF(F36="Ingreso",G35+E36,G35-E36))</f>
        <v/>
      </c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6" customHeight="1">
      <c r="A37" s="1" t="n"/>
      <c r="B37" s="22" t="inlineStr"/>
      <c r="C37" s="23" t="inlineStr"/>
      <c r="D37" s="24" t="inlineStr"/>
      <c r="E37" s="25" t="inlineStr"/>
      <c r="F37" s="31" t="inlineStr">
        <is>
          <t>Gasto</t>
        </is>
      </c>
      <c r="G37" s="27">
        <f>IF(E37="",G36,IF(F37="Ingreso",G36+E37,G36-E37))</f>
        <v/>
      </c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6" customHeight="1">
      <c r="A38" s="1" t="n"/>
      <c r="B38" s="22" t="inlineStr"/>
      <c r="C38" s="23" t="inlineStr"/>
      <c r="D38" s="24" t="inlineStr"/>
      <c r="E38" s="25" t="inlineStr"/>
      <c r="F38" s="31" t="inlineStr">
        <is>
          <t>Gasto</t>
        </is>
      </c>
      <c r="G38" s="27">
        <f>IF(E38="",G37,IF(F38="Ingreso",G37+E38,G37-E38))</f>
        <v/>
      </c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6" customHeight="1">
      <c r="A39" s="1" t="n"/>
      <c r="B39" s="22" t="inlineStr"/>
      <c r="C39" s="23" t="inlineStr"/>
      <c r="D39" s="24" t="inlineStr"/>
      <c r="E39" s="25" t="inlineStr"/>
      <c r="F39" s="31" t="inlineStr">
        <is>
          <t>Gasto</t>
        </is>
      </c>
      <c r="G39" s="27">
        <f>IF(E39="",G38,IF(F39="Ingreso",G38+E39,G38-E39))</f>
        <v/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6" customHeight="1">
      <c r="A40" s="1" t="n"/>
      <c r="B40" s="22" t="inlineStr"/>
      <c r="C40" s="23" t="inlineStr"/>
      <c r="D40" s="24" t="inlineStr"/>
      <c r="E40" s="25" t="inlineStr"/>
      <c r="F40" s="31" t="inlineStr">
        <is>
          <t>Gasto</t>
        </is>
      </c>
      <c r="G40" s="27">
        <f>IF(E40="",G39,IF(F40="Ingreso",G39+E40,G39-E40))</f>
        <v/>
      </c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16" customHeight="1">
      <c r="A41" s="1" t="n"/>
      <c r="B41" s="22" t="inlineStr"/>
      <c r="C41" s="23" t="inlineStr"/>
      <c r="D41" s="24" t="inlineStr"/>
      <c r="E41" s="25" t="inlineStr"/>
      <c r="F41" s="31" t="inlineStr">
        <is>
          <t>Gasto</t>
        </is>
      </c>
      <c r="G41" s="27">
        <f>IF(E41="",G40,IF(F41="Ingreso",G40+E41,G40-E41))</f>
        <v/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6" customHeight="1">
      <c r="A42" s="1" t="n"/>
      <c r="B42" s="22" t="inlineStr"/>
      <c r="C42" s="23" t="inlineStr"/>
      <c r="D42" s="24" t="inlineStr"/>
      <c r="E42" s="25" t="inlineStr"/>
      <c r="F42" s="31" t="inlineStr">
        <is>
          <t>Gasto</t>
        </is>
      </c>
      <c r="G42" s="27">
        <f>IF(E42="",G41,IF(F42="Ingreso",G41+E42,G41-E42))</f>
        <v/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16" customHeight="1">
      <c r="A43" s="1" t="n"/>
      <c r="B43" s="22" t="inlineStr"/>
      <c r="C43" s="23" t="inlineStr"/>
      <c r="D43" s="24" t="inlineStr"/>
      <c r="E43" s="25" t="inlineStr"/>
      <c r="F43" s="31" t="inlineStr">
        <is>
          <t>Gasto</t>
        </is>
      </c>
      <c r="G43" s="27">
        <f>IF(E43="",G42,IF(F43="Ingreso",G42+E43,G42-E43))</f>
        <v/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6" customHeight="1">
      <c r="A44" s="1" t="n"/>
      <c r="B44" s="22" t="inlineStr"/>
      <c r="C44" s="23" t="inlineStr"/>
      <c r="D44" s="24" t="inlineStr"/>
      <c r="E44" s="25" t="inlineStr"/>
      <c r="F44" s="31" t="inlineStr">
        <is>
          <t>Gasto</t>
        </is>
      </c>
      <c r="G44" s="27">
        <f>IF(E44="",G43,IF(F44="Ingreso",G43+E44,G43-E44))</f>
        <v/>
      </c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6" customHeight="1">
      <c r="A45" s="1" t="n"/>
      <c r="B45" s="22" t="inlineStr"/>
      <c r="C45" s="23" t="inlineStr"/>
      <c r="D45" s="24" t="inlineStr"/>
      <c r="E45" s="25" t="inlineStr"/>
      <c r="F45" s="31" t="inlineStr">
        <is>
          <t>Gasto</t>
        </is>
      </c>
      <c r="G45" s="27">
        <f>IF(E45="",G44,IF(F45="Ingreso",G44+E45,G44-E45))</f>
        <v/>
      </c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6" customHeight="1">
      <c r="A46" s="1" t="n"/>
      <c r="B46" s="22" t="inlineStr"/>
      <c r="C46" s="23" t="inlineStr"/>
      <c r="D46" s="24" t="inlineStr"/>
      <c r="E46" s="25" t="inlineStr"/>
      <c r="F46" s="31" t="inlineStr">
        <is>
          <t>Gasto</t>
        </is>
      </c>
      <c r="G46" s="27">
        <f>IF(E46="",G45,IF(F46="Ingreso",G45+E46,G45-E46))</f>
        <v/>
      </c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6" customHeight="1">
      <c r="A47" s="1" t="n"/>
      <c r="B47" s="22" t="inlineStr"/>
      <c r="C47" s="23" t="inlineStr"/>
      <c r="D47" s="24" t="inlineStr"/>
      <c r="E47" s="25" t="inlineStr"/>
      <c r="F47" s="31" t="inlineStr">
        <is>
          <t>Gasto</t>
        </is>
      </c>
      <c r="G47" s="27">
        <f>IF(E47="",G46,IF(F47="Ingreso",G46+E47,G46-E47))</f>
        <v/>
      </c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6" customHeight="1">
      <c r="A48" s="1" t="n"/>
      <c r="B48" s="22" t="inlineStr"/>
      <c r="C48" s="23" t="inlineStr"/>
      <c r="D48" s="24" t="inlineStr"/>
      <c r="E48" s="25" t="inlineStr"/>
      <c r="F48" s="31" t="inlineStr">
        <is>
          <t>Gasto</t>
        </is>
      </c>
      <c r="G48" s="27">
        <f>IF(E48="",G47,IF(F48="Ingreso",G47+E48,G47-E48))</f>
        <v/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 ht="16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 ht="1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 ht="16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 ht="16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 ht="16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 ht="1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 ht="1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 ht="1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 ht="1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 ht="1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 ht="1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 ht="1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 ht="1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 ht="1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 ht="1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 ht="1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 ht="1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</sheetData>
  <mergeCells count="3">
    <mergeCell ref="I7:M7"/>
    <mergeCell ref="B2:G2"/>
    <mergeCell ref="B7:G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42" t="inlineStr">
        <is>
          <t>📊  RESUMEN ANUAL 2026</t>
        </is>
      </c>
      <c r="P2" s="1" t="n"/>
    </row>
    <row r="3" ht="18" customHeight="1">
      <c r="A3" s="1" t="n"/>
      <c r="P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8" customHeight="1">
      <c r="A6" s="1" t="n"/>
      <c r="B6" s="21" t="inlineStr">
        <is>
          <t>CONCEPTO</t>
        </is>
      </c>
      <c r="C6" s="21" t="inlineStr">
        <is>
          <t>ENE</t>
        </is>
      </c>
      <c r="D6" s="21" t="inlineStr">
        <is>
          <t>FEB</t>
        </is>
      </c>
      <c r="E6" s="21" t="inlineStr">
        <is>
          <t>MAR</t>
        </is>
      </c>
      <c r="F6" s="21" t="inlineStr">
        <is>
          <t>ABR</t>
        </is>
      </c>
      <c r="G6" s="21" t="inlineStr">
        <is>
          <t>MAY</t>
        </is>
      </c>
      <c r="H6" s="21" t="inlineStr">
        <is>
          <t>JUN</t>
        </is>
      </c>
      <c r="I6" s="21" t="inlineStr">
        <is>
          <t>JUL</t>
        </is>
      </c>
      <c r="J6" s="21" t="inlineStr">
        <is>
          <t>AGO</t>
        </is>
      </c>
      <c r="K6" s="21" t="inlineStr">
        <is>
          <t>SEP</t>
        </is>
      </c>
      <c r="L6" s="21" t="inlineStr">
        <is>
          <t>OCT</t>
        </is>
      </c>
      <c r="M6" s="21" t="inlineStr">
        <is>
          <t>NOV</t>
        </is>
      </c>
      <c r="N6" s="21" t="inlineStr">
        <is>
          <t>DIC</t>
        </is>
      </c>
      <c r="O6" s="43" t="inlineStr">
        <is>
          <t>TOTAL</t>
        </is>
      </c>
      <c r="P6" s="1" t="n"/>
    </row>
    <row r="7" ht="1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20" customHeight="1">
      <c r="A8" s="1" t="n"/>
      <c r="B8" s="44" t="inlineStr">
        <is>
          <t>💰 INGRESOS</t>
        </is>
      </c>
      <c r="C8" s="13">
        <f>SUMIF('ENE'!F9:F48,"Ingreso",'ENE'!E9:E48)</f>
        <v/>
      </c>
      <c r="D8" s="13">
        <f>SUMIF('FEB'!F9:F48,"Ingreso",'FEB'!E9:E48)</f>
        <v/>
      </c>
      <c r="E8" s="13">
        <f>SUMIF('MAR'!F9:F48,"Ingreso",'MAR'!E9:E48)</f>
        <v/>
      </c>
      <c r="F8" s="13">
        <f>SUMIF('ABR'!F9:F48,"Ingreso",'ABR'!E9:E48)</f>
        <v/>
      </c>
      <c r="G8" s="13">
        <f>SUMIF('MAY'!F9:F48,"Ingreso",'MAY'!E9:E48)</f>
        <v/>
      </c>
      <c r="H8" s="13">
        <f>SUMIF('JUN'!F9:F48,"Ingreso",'JUN'!E9:E48)</f>
        <v/>
      </c>
      <c r="I8" s="13">
        <f>SUMIF('JUL'!F9:F48,"Ingreso",'JUL'!E9:E48)</f>
        <v/>
      </c>
      <c r="J8" s="13">
        <f>SUMIF('AGO'!F9:F48,"Ingreso",'AGO'!E9:E48)</f>
        <v/>
      </c>
      <c r="K8" s="13">
        <f>SUMIF('SEP'!F9:F48,"Ingreso",'SEP'!E9:E48)</f>
        <v/>
      </c>
      <c r="L8" s="13">
        <f>SUMIF('OCT'!F9:F48,"Ingreso",'OCT'!E9:E48)</f>
        <v/>
      </c>
      <c r="M8" s="13">
        <f>SUMIF('NOV'!F9:F48,"Ingreso",'NOV'!E9:E48)</f>
        <v/>
      </c>
      <c r="N8" s="13">
        <f>SUMIF('DIC'!F9:F48,"Ingreso",'DIC'!E9:E48)</f>
        <v/>
      </c>
      <c r="O8" s="45">
        <f>SUM(C8:N8)</f>
        <v/>
      </c>
      <c r="P8" s="1" t="n"/>
    </row>
    <row r="9" ht="20" customHeight="1">
      <c r="A9" s="1" t="n"/>
      <c r="B9" s="46" t="inlineStr">
        <is>
          <t>💸 GASTOS</t>
        </is>
      </c>
      <c r="C9" s="47">
        <f>SUMIF('ENE'!F9:F48,"Gasto",'ENE'!E9:E48)</f>
        <v/>
      </c>
      <c r="D9" s="47">
        <f>SUMIF('FEB'!F9:F48,"Gasto",'FEB'!E9:E48)</f>
        <v/>
      </c>
      <c r="E9" s="47">
        <f>SUMIF('MAR'!F9:F48,"Gasto",'MAR'!E9:E48)</f>
        <v/>
      </c>
      <c r="F9" s="47">
        <f>SUMIF('ABR'!F9:F48,"Gasto",'ABR'!E9:E48)</f>
        <v/>
      </c>
      <c r="G9" s="47">
        <f>SUMIF('MAY'!F9:F48,"Gasto",'MAY'!E9:E48)</f>
        <v/>
      </c>
      <c r="H9" s="47">
        <f>SUMIF('JUN'!F9:F48,"Gasto",'JUN'!E9:E48)</f>
        <v/>
      </c>
      <c r="I9" s="47">
        <f>SUMIF('JUL'!F9:F48,"Gasto",'JUL'!E9:E48)</f>
        <v/>
      </c>
      <c r="J9" s="47">
        <f>SUMIF('AGO'!F9:F48,"Gasto",'AGO'!E9:E48)</f>
        <v/>
      </c>
      <c r="K9" s="47">
        <f>SUMIF('SEP'!F9:F48,"Gasto",'SEP'!E9:E48)</f>
        <v/>
      </c>
      <c r="L9" s="47">
        <f>SUMIF('OCT'!F9:F48,"Gasto",'OCT'!E9:E48)</f>
        <v/>
      </c>
      <c r="M9" s="47">
        <f>SUMIF('NOV'!F9:F48,"Gasto",'NOV'!E9:E48)</f>
        <v/>
      </c>
      <c r="N9" s="47">
        <f>SUMIF('DIC'!F9:F48,"Gasto",'DIC'!E9:E48)</f>
        <v/>
      </c>
      <c r="O9" s="45">
        <f>SUM(C9:N9)</f>
        <v/>
      </c>
      <c r="P9" s="1" t="n"/>
    </row>
    <row r="10" ht="20" customHeight="1">
      <c r="A10" s="1" t="n"/>
      <c r="B10" s="48" t="inlineStr">
        <is>
          <t>💾 AHORRO</t>
        </is>
      </c>
      <c r="C10" s="12">
        <f>SUMIF('ENE'!F9:F48,"Ingreso",'ENE'!E9:E48)-SUMIF('ENE'!F9:F48,"Gasto",'ENE'!E9:E48)</f>
        <v/>
      </c>
      <c r="D10" s="12">
        <f>SUMIF('FEB'!F9:F48,"Ingreso",'FEB'!E9:E48)-SUMIF('FEB'!F9:F48,"Gasto",'FEB'!E9:E48)</f>
        <v/>
      </c>
      <c r="E10" s="12">
        <f>SUMIF('MAR'!F9:F48,"Ingreso",'MAR'!E9:E48)-SUMIF('MAR'!F9:F48,"Gasto",'MAR'!E9:E48)</f>
        <v/>
      </c>
      <c r="F10" s="12">
        <f>SUMIF('ABR'!F9:F48,"Ingreso",'ABR'!E9:E48)-SUMIF('ABR'!F9:F48,"Gasto",'ABR'!E9:E48)</f>
        <v/>
      </c>
      <c r="G10" s="12">
        <f>SUMIF('MAY'!F9:F48,"Ingreso",'MAY'!E9:E48)-SUMIF('MAY'!F9:F48,"Gasto",'MAY'!E9:E48)</f>
        <v/>
      </c>
      <c r="H10" s="12">
        <f>SUMIF('JUN'!F9:F48,"Ingreso",'JUN'!E9:E48)-SUMIF('JUN'!F9:F48,"Gasto",'JUN'!E9:E48)</f>
        <v/>
      </c>
      <c r="I10" s="12">
        <f>SUMIF('JUL'!F9:F48,"Ingreso",'JUL'!E9:E48)-SUMIF('JUL'!F9:F48,"Gasto",'JUL'!E9:E48)</f>
        <v/>
      </c>
      <c r="J10" s="12">
        <f>SUMIF('AGO'!F9:F48,"Ingreso",'AGO'!E9:E48)-SUMIF('AGO'!F9:F48,"Gasto",'AGO'!E9:E48)</f>
        <v/>
      </c>
      <c r="K10" s="12">
        <f>SUMIF('SEP'!F9:F48,"Ingreso",'SEP'!E9:E48)-SUMIF('SEP'!F9:F48,"Gasto",'SEP'!E9:E48)</f>
        <v/>
      </c>
      <c r="L10" s="12">
        <f>SUMIF('OCT'!F9:F48,"Ingreso",'OCT'!E9:E48)-SUMIF('OCT'!F9:F48,"Gasto",'OCT'!E9:E48)</f>
        <v/>
      </c>
      <c r="M10" s="12">
        <f>SUMIF('NOV'!F9:F48,"Ingreso",'NOV'!E9:E48)-SUMIF('NOV'!F9:F48,"Gasto",'NOV'!E9:E48)</f>
        <v/>
      </c>
      <c r="N10" s="12">
        <f>SUMIF('DIC'!F9:F48,"Ingreso",'DIC'!E9:E48)-SUMIF('DIC'!F9:F48,"Gasto",'DIC'!E9:E48)</f>
        <v/>
      </c>
      <c r="O10" s="45">
        <f>SUM(C10:N10)</f>
        <v/>
      </c>
      <c r="P10" s="1" t="n"/>
    </row>
    <row r="11" ht="20" customHeight="1">
      <c r="A11" s="1" t="n"/>
      <c r="B11" s="49" t="inlineStr">
        <is>
          <t>% AHORRO</t>
        </is>
      </c>
      <c r="C11" s="50">
        <f>IFERROR((SUMIF('ENE'!F9:F48,"Ingreso",'ENE'!E9:E48)-SUMIF('ENE'!F9:F48,"Gasto",'ENE'!E9:E48))/SUMIF('ENE'!F9:F48,"Ingreso",'ENE'!E9:E48),0)</f>
        <v/>
      </c>
      <c r="D11" s="50">
        <f>IFERROR((SUMIF('FEB'!F9:F48,"Ingreso",'FEB'!E9:E48)-SUMIF('FEB'!F9:F48,"Gasto",'FEB'!E9:E48))/SUMIF('FEB'!F9:F48,"Ingreso",'FEB'!E9:E48),0)</f>
        <v/>
      </c>
      <c r="E11" s="50">
        <f>IFERROR((SUMIF('MAR'!F9:F48,"Ingreso",'MAR'!E9:E48)-SUMIF('MAR'!F9:F48,"Gasto",'MAR'!E9:E48))/SUMIF('MAR'!F9:F48,"Ingreso",'MAR'!E9:E48),0)</f>
        <v/>
      </c>
      <c r="F11" s="50">
        <f>IFERROR((SUMIF('ABR'!F9:F48,"Ingreso",'ABR'!E9:E48)-SUMIF('ABR'!F9:F48,"Gasto",'ABR'!E9:E48))/SUMIF('ABR'!F9:F48,"Ingreso",'ABR'!E9:E48),0)</f>
        <v/>
      </c>
      <c r="G11" s="50">
        <f>IFERROR((SUMIF('MAY'!F9:F48,"Ingreso",'MAY'!E9:E48)-SUMIF('MAY'!F9:F48,"Gasto",'MAY'!E9:E48))/SUMIF('MAY'!F9:F48,"Ingreso",'MAY'!E9:E48),0)</f>
        <v/>
      </c>
      <c r="H11" s="50">
        <f>IFERROR((SUMIF('JUN'!F9:F48,"Ingreso",'JUN'!E9:E48)-SUMIF('JUN'!F9:F48,"Gasto",'JUN'!E9:E48))/SUMIF('JUN'!F9:F48,"Ingreso",'JUN'!E9:E48),0)</f>
        <v/>
      </c>
      <c r="I11" s="50">
        <f>IFERROR((SUMIF('JUL'!F9:F48,"Ingreso",'JUL'!E9:E48)-SUMIF('JUL'!F9:F48,"Gasto",'JUL'!E9:E48))/SUMIF('JUL'!F9:F48,"Ingreso",'JUL'!E9:E48),0)</f>
        <v/>
      </c>
      <c r="J11" s="50">
        <f>IFERROR((SUMIF('AGO'!F9:F48,"Ingreso",'AGO'!E9:E48)-SUMIF('AGO'!F9:F48,"Gasto",'AGO'!E9:E48))/SUMIF('AGO'!F9:F48,"Ingreso",'AGO'!E9:E48),0)</f>
        <v/>
      </c>
      <c r="K11" s="50">
        <f>IFERROR((SUMIF('SEP'!F9:F48,"Ingreso",'SEP'!E9:E48)-SUMIF('SEP'!F9:F48,"Gasto",'SEP'!E9:E48))/SUMIF('SEP'!F9:F48,"Ingreso",'SEP'!E9:E48),0)</f>
        <v/>
      </c>
      <c r="L11" s="50">
        <f>IFERROR((SUMIF('OCT'!F9:F48,"Ingreso",'OCT'!E9:E48)-SUMIF('OCT'!F9:F48,"Gasto",'OCT'!E9:E48))/SUMIF('OCT'!F9:F48,"Ingreso",'OCT'!E9:E48),0)</f>
        <v/>
      </c>
      <c r="M11" s="50">
        <f>IFERROR((SUMIF('NOV'!F9:F48,"Ingreso",'NOV'!E9:E48)-SUMIF('NOV'!F9:F48,"Gasto",'NOV'!E9:E48))/SUMIF('NOV'!F9:F48,"Ingreso",'NOV'!E9:E48),0)</f>
        <v/>
      </c>
      <c r="N11" s="50">
        <f>IFERROR((SUMIF('DIC'!F9:F48,"Ingreso",'DIC'!E9:E48)-SUMIF('DIC'!F9:F48,"Gasto",'DIC'!E9:E48))/SUMIF('DIC'!F9:F48,"Ingreso",'DIC'!E9:E48),0)</f>
        <v/>
      </c>
      <c r="O11" s="51">
        <f>IFERROR(C10/C8,0)</f>
        <v/>
      </c>
      <c r="P11" s="1" t="n"/>
    </row>
    <row r="12" ht="1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</sheetData>
  <mergeCells count="1">
    <mergeCell ref="B2:O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12" customWidth="1" min="8" max="8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8" customHeight="1">
      <c r="A2" s="1" t="n"/>
      <c r="B2" s="42" t="inlineStr">
        <is>
          <t>🎯  METAS DE AHORRO 2026</t>
        </is>
      </c>
      <c r="I2" s="1" t="n"/>
      <c r="J2" s="1" t="n"/>
    </row>
    <row r="3" ht="18" customHeight="1">
      <c r="A3" s="1" t="n"/>
      <c r="I3" s="1" t="n"/>
      <c r="J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21" t="inlineStr">
        <is>
          <t>META / OBJETIVO</t>
        </is>
      </c>
      <c r="C7" s="21" t="inlineStr">
        <is>
          <t>MONTO TOTAL</t>
        </is>
      </c>
      <c r="D7" s="21" t="inlineStr">
        <is>
          <t>AHORRADO HOY</t>
        </is>
      </c>
      <c r="E7" s="21" t="inlineStr">
        <is>
          <t>FALTA</t>
        </is>
      </c>
      <c r="F7" s="21" t="inlineStr">
        <is>
          <t>FECHA LÍMITE</t>
        </is>
      </c>
      <c r="G7" s="21" t="inlineStr">
        <is>
          <t>PROGRESO</t>
        </is>
      </c>
      <c r="H7" s="21" t="inlineStr">
        <is>
          <t>ESTADO</t>
        </is>
      </c>
      <c r="I7" s="1" t="n"/>
      <c r="J7" s="1" t="n"/>
    </row>
    <row r="8" ht="24" customHeight="1">
      <c r="A8" s="1" t="n"/>
      <c r="B8" s="11" t="inlineStr">
        <is>
          <t>Fondo de emergencia (3 meses)</t>
        </is>
      </c>
      <c r="C8" s="12" t="n">
        <v>1500000</v>
      </c>
      <c r="D8" s="13" t="n">
        <v>0</v>
      </c>
      <c r="E8" s="52">
        <f>C8-D8</f>
        <v/>
      </c>
      <c r="F8" s="53" t="inlineStr"/>
      <c r="G8" s="54">
        <f>IFERROR(D8/C8,0)</f>
        <v/>
      </c>
      <c r="H8" s="55">
        <f>IFERROR(IF(D8/C8&gt;=1,"🏆 Lograda!",IF(D8/C8&gt;=0.75,"🔥 Casi!",IF(D8/C8&gt;=0.5,"⭐ Mitad",IF(D8/C8&gt;0,"🌱 Iniciando","⬜ Sin iniciar")))),"⬜")</f>
        <v/>
      </c>
      <c r="I8" s="1" t="n"/>
      <c r="J8" s="1" t="n"/>
    </row>
    <row r="9" ht="24" customHeight="1">
      <c r="A9" s="1" t="n"/>
      <c r="B9" s="11" t="inlineStr">
        <is>
          <t>Vacaciones</t>
        </is>
      </c>
      <c r="C9" s="12" t="n">
        <v>800000</v>
      </c>
      <c r="D9" s="13" t="n">
        <v>0</v>
      </c>
      <c r="E9" s="52">
        <f>C9-D9</f>
        <v/>
      </c>
      <c r="F9" s="53" t="inlineStr"/>
      <c r="G9" s="56">
        <f>IFERROR(D9/C9,0)</f>
        <v/>
      </c>
      <c r="H9" s="55">
        <f>IFERROR(IF(D9/C9&gt;=1,"🏆 Lograda!",IF(D9/C9&gt;=0.75,"🔥 Casi!",IF(D9/C9&gt;=0.5,"⭐ Mitad",IF(D9/C9&gt;0,"🌱 Iniciando","⬜ Sin iniciar")))),"⬜")</f>
        <v/>
      </c>
      <c r="I9" s="1" t="n"/>
      <c r="J9" s="1" t="n"/>
    </row>
    <row r="10" ht="24" customHeight="1">
      <c r="A10" s="1" t="n"/>
      <c r="B10" s="11" t="inlineStr">
        <is>
          <t>Pie departamento</t>
        </is>
      </c>
      <c r="C10" s="12" t="n">
        <v>10000000</v>
      </c>
      <c r="D10" s="13" t="n">
        <v>0</v>
      </c>
      <c r="E10" s="52">
        <f>C10-D10</f>
        <v/>
      </c>
      <c r="F10" s="53" t="inlineStr"/>
      <c r="G10" s="57">
        <f>IFERROR(D10/C10,0)</f>
        <v/>
      </c>
      <c r="H10" s="55">
        <f>IFERROR(IF(D10/C10&gt;=1,"🏆 Lograda!",IF(D10/C10&gt;=0.75,"🔥 Casi!",IF(D10/C10&gt;=0.5,"⭐ Mitad",IF(D10/C10&gt;0,"🌱 Iniciando","⬜ Sin iniciar")))),"⬜")</f>
        <v/>
      </c>
      <c r="I10" s="1" t="n"/>
      <c r="J10" s="1" t="n"/>
    </row>
    <row r="11" ht="24" customHeight="1">
      <c r="A11" s="1" t="n"/>
      <c r="B11" s="11" t="inlineStr">
        <is>
          <t>Auto</t>
        </is>
      </c>
      <c r="C11" s="12" t="n">
        <v>5000000</v>
      </c>
      <c r="D11" s="13" t="n">
        <v>0</v>
      </c>
      <c r="E11" s="52">
        <f>C11-D11</f>
        <v/>
      </c>
      <c r="F11" s="53" t="inlineStr"/>
      <c r="G11" s="58">
        <f>IFERROR(D11/C11,0)</f>
        <v/>
      </c>
      <c r="H11" s="55">
        <f>IFERROR(IF(D11/C11&gt;=1,"🏆 Lograda!",IF(D11/C11&gt;=0.75,"🔥 Casi!",IF(D11/C11&gt;=0.5,"⭐ Mitad",IF(D11/C11&gt;0,"🌱 Iniciando","⬜ Sin iniciar")))),"⬜")</f>
        <v/>
      </c>
      <c r="I11" s="1" t="n"/>
      <c r="J11" s="1" t="n"/>
    </row>
    <row r="12" ht="24" customHeight="1">
      <c r="A12" s="1" t="n"/>
      <c r="B12" s="11" t="inlineStr">
        <is>
          <t>Curso / Educación</t>
        </is>
      </c>
      <c r="C12" s="12" t="n">
        <v>300000</v>
      </c>
      <c r="D12" s="13" t="n">
        <v>0</v>
      </c>
      <c r="E12" s="52">
        <f>C12-D12</f>
        <v/>
      </c>
      <c r="F12" s="53" t="inlineStr"/>
      <c r="G12" s="59">
        <f>IFERROR(D12/C12,0)</f>
        <v/>
      </c>
      <c r="H12" s="55">
        <f>IFERROR(IF(D12/C12&gt;=1,"🏆 Lograda!",IF(D12/C12&gt;=0.75,"🔥 Casi!",IF(D12/C12&gt;=0.5,"⭐ Mitad",IF(D12/C12&gt;0,"🌱 Iniciando","⬜ Sin iniciar")))),"⬜")</f>
        <v/>
      </c>
      <c r="I12" s="1" t="n"/>
      <c r="J12" s="1" t="n"/>
    </row>
    <row r="13" ht="24" customHeight="1">
      <c r="A13" s="1" t="n"/>
      <c r="B13" s="11" t="inlineStr">
        <is>
          <t>Computador</t>
        </is>
      </c>
      <c r="C13" s="12" t="n">
        <v>600000</v>
      </c>
      <c r="D13" s="13" t="n">
        <v>0</v>
      </c>
      <c r="E13" s="52">
        <f>C13-D13</f>
        <v/>
      </c>
      <c r="F13" s="53" t="inlineStr"/>
      <c r="G13" s="60">
        <f>IFERROR(D13/C13,0)</f>
        <v/>
      </c>
      <c r="H13" s="55">
        <f>IFERROR(IF(D13/C13&gt;=1,"🏆 Lograda!",IF(D13/C13&gt;=0.75,"🔥 Casi!",IF(D13/C13&gt;=0.5,"⭐ Mitad",IF(D13/C13&gt;0,"🌱 Iniciando","⬜ Sin iniciar")))),"⬜")</f>
        <v/>
      </c>
      <c r="I13" s="1" t="n"/>
      <c r="J13" s="1" t="n"/>
    </row>
    <row r="14" ht="24" customHeight="1">
      <c r="A14" s="1" t="n"/>
      <c r="B14" s="11" t="inlineStr">
        <is>
          <t>Meta libre 1</t>
        </is>
      </c>
      <c r="C14" s="12" t="n">
        <v>0</v>
      </c>
      <c r="D14" s="13" t="n">
        <v>0</v>
      </c>
      <c r="E14" s="52">
        <f>C14-D14</f>
        <v/>
      </c>
      <c r="F14" s="53" t="inlineStr"/>
      <c r="G14" s="61">
        <f>IFERROR(D14/C14,0)</f>
        <v/>
      </c>
      <c r="H14" s="55">
        <f>IFERROR(IF(D14/C14&gt;=1,"🏆 Lograda!",IF(D14/C14&gt;=0.75,"🔥 Casi!",IF(D14/C14&gt;=0.5,"⭐ Mitad",IF(D14/C14&gt;0,"🌱 Iniciando","⬜ Sin iniciar")))),"⬜")</f>
        <v/>
      </c>
      <c r="I14" s="1" t="n"/>
      <c r="J14" s="1" t="n"/>
    </row>
    <row r="15" ht="24" customHeight="1">
      <c r="A15" s="1" t="n"/>
      <c r="B15" s="11" t="inlineStr">
        <is>
          <t>Meta libre 2</t>
        </is>
      </c>
      <c r="C15" s="12" t="n">
        <v>0</v>
      </c>
      <c r="D15" s="13" t="n">
        <v>0</v>
      </c>
      <c r="E15" s="52">
        <f>C15-D15</f>
        <v/>
      </c>
      <c r="F15" s="53" t="inlineStr"/>
      <c r="G15" s="61">
        <f>IFERROR(D15/C15,0)</f>
        <v/>
      </c>
      <c r="H15" s="55">
        <f>IFERROR(IF(D15/C15&gt;=1,"🏆 Lograda!",IF(D15/C15&gt;=0.75,"🔥 Casi!",IF(D15/C15&gt;=0.5,"⭐ Mitad",IF(D15/C15&gt;0,"🌱 Iniciando","⬜ Sin iniciar")))),"⬜")</f>
        <v/>
      </c>
      <c r="I15" s="1" t="n"/>
      <c r="J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</sheetData>
  <mergeCells count="1">
    <mergeCell ref="B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2026-05-12T04:48:24Z</dcterms:created>
  <dcterms:modified xmlns:dcterms="http://purl.org/dc/terms/" xmlns:xsi="http://www.w3.org/2001/XMLSchema-instance" xsi:type="dcterms:W3CDTF">2026-05-12T04:48:26Z</dcterms:modified>
</cp:coreProperties>
</file>